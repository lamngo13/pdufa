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ersoyars/Downloads/"/>
    </mc:Choice>
  </mc:AlternateContent>
  <xr:revisionPtr revIDLastSave="0" documentId="13_ncr:1_{9BFB4E7A-3F72-664B-AACA-109E16A1A821}" xr6:coauthVersionLast="47" xr6:coauthVersionMax="47" xr10:uidLastSave="{00000000-0000-0000-0000-000000000000}"/>
  <bookViews>
    <workbookView xWindow="0" yWindow="500" windowWidth="28800" windowHeight="16180" xr2:uid="{E2261A6E-B566-EA48-9E74-602C09DBCBBB}"/>
  </bookViews>
  <sheets>
    <sheet name="PDUFA " sheetId="1" r:id="rId1"/>
  </sheets>
  <definedNames>
    <definedName name="_xlnm._FilterDatabase" localSheetId="0" hidden="1">'PDUFA '!$A$1:$G$1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a="1"/>
  <c r="E2" i="1" l="1"/>
  <c r="F2" i="1"/>
  <c r="G2" i="1"/>
  <c r="B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72"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</futureMetadata>
  <cellMetadata count="1">
    <bk>
      <rc t="1" v="0"/>
    </bk>
  </cellMetadata>
  <valueMetadata count="472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</valueMetadata>
</metadata>
</file>

<file path=xl/sharedStrings.xml><?xml version="1.0" encoding="utf-8"?>
<sst xmlns="http://schemas.openxmlformats.org/spreadsheetml/2006/main" count="266" uniqueCount="11">
  <si>
    <t>PDUFA annouced for Tabelecleucel</t>
  </si>
  <si>
    <t>PDUFA date 1/10/26</t>
  </si>
  <si>
    <t>Return - Sell day before PDUFA</t>
  </si>
  <si>
    <t>Return - Sell after PDUFA</t>
  </si>
  <si>
    <t>Return- Sell 2 days before PDUFA</t>
  </si>
  <si>
    <t>PDUFA notes</t>
  </si>
  <si>
    <t>Stock Price</t>
  </si>
  <si>
    <t>CRL</t>
  </si>
  <si>
    <t>Stock Ticker</t>
  </si>
  <si>
    <t>ATRA</t>
  </si>
  <si>
    <t>Stock Info/Date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</si>
</sst>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166" fontId="0" fillId="3" borderId="0" xfId="1" applyNumberFormat="1" applyFont="1" applyFill="1"/>
    <xf numFmtId="166" fontId="0" fillId="4" borderId="0" xfId="1" applyNumberFormat="1" applyFont="1" applyFill="1"/>
    <xf numFmtId="0" fontId="0" fillId="0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SupportingPropertyBag" Target="richData/rdsupportingpropertybag.xml"/><Relationship Id="rId5" Type="http://schemas.openxmlformats.org/officeDocument/2006/relationships/sheetMetadata" Target="metadata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aredStrings" Target="sharedStrings.xml"/><Relationship Id="rId9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array.xml><?xml version="1.0" encoding="utf-8"?>
<arrayData xmlns="http://schemas.microsoft.com/office/spreadsheetml/2017/richdata2" count="2">
  <a r="1" c="251">
    <v t="i">0</v>
    <v t="i">1</v>
    <v t="i">2</v>
    <v t="i">3</v>
    <v t="i">6</v>
    <v t="i">7</v>
    <v t="i">8</v>
    <v t="i">9</v>
    <v t="i">10</v>
    <v t="i">13</v>
    <v t="i">14</v>
    <v t="i">15</v>
    <v t="i">16</v>
    <v t="i">17</v>
    <v t="i">21</v>
    <v t="i">22</v>
    <v t="i">23</v>
    <v t="i">24</v>
    <v t="i">27</v>
    <v t="i">28</v>
    <v t="i">29</v>
    <v t="i">30</v>
    <v t="i">31</v>
    <v t="i">34</v>
    <v t="i">35</v>
    <v t="i">36</v>
    <v t="i">37</v>
    <v t="i">38</v>
    <v t="i">41</v>
    <v t="i">42</v>
    <v t="i">43</v>
    <v t="i">44</v>
    <v t="i">45</v>
    <v t="i">48</v>
    <v t="i">49</v>
    <v t="i">50</v>
    <v t="i">51</v>
    <v t="i">52</v>
    <v t="i">55</v>
    <v t="i">56</v>
    <v t="i">57</v>
    <v t="i">58</v>
    <v t="i">59</v>
    <v t="i">62</v>
    <v t="i">63</v>
    <v t="i">64</v>
    <v t="i">65</v>
    <v t="i">66</v>
    <v t="i">69</v>
    <v t="i">70</v>
    <v t="i">71</v>
    <v t="i">72</v>
    <v t="i">73</v>
    <v t="i">76</v>
    <v t="i">77</v>
    <v t="i">78</v>
    <v t="i">79</v>
    <v t="i">83</v>
    <v t="i">84</v>
    <v t="i">85</v>
    <v t="i">86</v>
    <v t="i">87</v>
    <v t="i">90</v>
    <v t="i">91</v>
    <v t="i">92</v>
    <v t="i">93</v>
    <v t="i">94</v>
    <v t="i">97</v>
    <v t="i">98</v>
    <v t="i">99</v>
    <v t="i">100</v>
    <v t="i">101</v>
    <v t="i">104</v>
    <v t="i">105</v>
    <v t="i">106</v>
    <v t="i">107</v>
    <v t="i">108</v>
    <v t="i">111</v>
    <v t="i">112</v>
    <v t="i">113</v>
    <v t="i">114</v>
    <v t="i">115</v>
    <v t="i">119</v>
    <v t="i">120</v>
    <v t="i">121</v>
    <v t="i">122</v>
    <v t="i">125</v>
    <v t="i">126</v>
    <v t="i">127</v>
    <v t="i">128</v>
    <v t="i">129</v>
    <v t="i">132</v>
    <v t="i">133</v>
    <v t="i">134</v>
    <v t="i">135</v>
    <v t="i">136</v>
    <v t="i">139</v>
    <v t="i">140</v>
    <v t="i">141</v>
    <v t="i">143</v>
    <v t="i">146</v>
    <v t="i">147</v>
    <v t="i">148</v>
    <v t="i">149</v>
    <v t="i">150</v>
    <v t="i">153</v>
    <v t="i">154</v>
    <v t="i">155</v>
    <v t="i">156</v>
    <v t="i">160</v>
    <v t="i">161</v>
    <v t="i">162</v>
    <v t="i">163</v>
    <v t="i">164</v>
    <v t="i">167</v>
    <v t="i">168</v>
    <v t="i">169</v>
    <v t="i">170</v>
    <v t="i">171</v>
    <v t="i">174</v>
    <v t="i">175</v>
    <v t="i">176</v>
    <v t="i">177</v>
    <v t="i">178</v>
    <v t="i">181</v>
    <v t="i">182</v>
    <v t="i">183</v>
    <v t="i">184</v>
    <v t="i">185</v>
    <v t="i">188</v>
    <v t="i">189</v>
    <v t="i">190</v>
    <v t="i">191</v>
    <v t="i">192</v>
    <v t="i">195</v>
    <v t="i">196</v>
    <v t="i">197</v>
    <v t="i">198</v>
    <v t="i">199</v>
    <v t="i">202</v>
    <v t="i">203</v>
    <v t="i">204</v>
    <v t="i">205</v>
    <v t="i">206</v>
    <v t="i">209</v>
    <v t="i">210</v>
    <v t="i">211</v>
    <v t="i">212</v>
    <v t="i">213</v>
    <v t="i">217</v>
    <v t="i">218</v>
    <v t="i">219</v>
    <v t="i">220</v>
    <v t="i">223</v>
    <v t="i">224</v>
    <v t="i">225</v>
    <v t="i">226</v>
    <v t="i">227</v>
    <v t="i">230</v>
    <v t="i">231</v>
    <v t="i">232</v>
    <v t="i">233</v>
    <v t="i">234</v>
    <v t="i">237</v>
    <v t="i">238</v>
    <v t="i">239</v>
    <v t="i">240</v>
    <v t="i">241</v>
    <v t="i">244</v>
    <v t="i">245</v>
    <v t="i">246</v>
    <v t="i">247</v>
    <v t="i">248</v>
    <v t="i">251</v>
    <v t="i">252</v>
    <v t="i">253</v>
    <v t="i">254</v>
    <v t="i">255</v>
    <v t="i">258</v>
    <v t="i">259</v>
    <v t="i">260</v>
    <v t="i">261</v>
    <v t="i">262</v>
    <v t="i">265</v>
    <v t="i">266</v>
    <v t="i">267</v>
    <v t="i">268</v>
    <v t="i">269</v>
    <v t="i">272</v>
    <v t="i">273</v>
    <v t="i">274</v>
    <v t="i">275</v>
    <v t="i">276</v>
    <v t="i">279</v>
    <v t="i">280</v>
    <v t="i">281</v>
    <v t="i">282</v>
    <v t="i">283</v>
    <v t="i">286</v>
    <v t="i">287</v>
    <v t="i">288</v>
    <v t="i">289</v>
    <v t="i">290</v>
    <v t="i">293</v>
    <v t="i">294</v>
    <v t="i">295</v>
    <v t="i">296</v>
    <v t="i">297</v>
    <v t="i">300</v>
    <v t="i">301</v>
    <v t="i">302</v>
    <v t="i">304</v>
    <v t="i">307</v>
    <v t="i">308</v>
    <v t="i">309</v>
    <v t="i">310</v>
    <v t="i">311</v>
    <v t="i">314</v>
    <v t="i">315</v>
    <v t="i">316</v>
    <v t="i">317</v>
    <v t="i">318</v>
    <v t="i">321</v>
    <v t="i">322</v>
    <v t="i">323</v>
    <v t="i">324</v>
    <v t="i">325</v>
    <v t="i">328</v>
    <v t="i">329</v>
    <v t="i">330</v>
    <v t="i">332</v>
    <v t="i">335</v>
    <v t="i">336</v>
    <v t="i">337</v>
    <v t="i">339</v>
    <v t="i">342</v>
    <v t="i">343</v>
    <v t="i">344</v>
    <v t="i">345</v>
    <v t="i">346</v>
    <v t="i">349</v>
    <v t="i">350</v>
    <v t="i">351</v>
    <v t="i">352</v>
    <v t="i">353</v>
    <v t="i">357</v>
    <v t="i">358</v>
    <v t="i">359</v>
    <v t="i">360</v>
    <v t="i">363</v>
    <v t="i">364</v>
  </a>
  <a r="1" c="251">
    <v>8.36</v>
    <v>8.09</v>
    <v>8.49</v>
    <v>8.8800000000000008</v>
    <v>8.52</v>
    <v>9.3000000000000007</v>
    <v>9.34</v>
    <v>10.51</v>
    <v>10.06</v>
    <v>9.26</v>
    <v>8.42</v>
    <v>8.6</v>
    <v>8.7200000000000006</v>
    <v>8.59</v>
    <v>8.08</v>
    <v>7.77</v>
    <v>7.52</v>
    <v>7.11</v>
    <v>7.25</v>
    <v>7.34</v>
    <v>7.39</v>
    <v>6.89</v>
    <v>6.91</v>
    <v>7</v>
    <v>7.13</v>
    <v>7.31</v>
    <v>6.8</v>
    <v>6.9</v>
    <v>6.16</v>
    <v>6.61</v>
    <v>6.89</v>
    <v>6.86</v>
    <v>7.25</v>
    <v>7.17</v>
    <v>7.02</v>
    <v>7.11</v>
    <v>6.74</v>
    <v>6.63</v>
    <v>6.94</v>
    <v>6.92</v>
    <v>6.62</v>
    <v>6.88</v>
    <v>6.53</v>
    <v>5.94</v>
    <v>6.01</v>
    <v>6.13</v>
    <v>5.92</v>
    <v>5.59</v>
    <v>5.73</v>
    <v>5.59</v>
    <v>5.89</v>
    <v>5.3</v>
    <v>5.53</v>
    <v>5.85</v>
    <v>5.98</v>
    <v>5.84</v>
    <v>6.17</v>
    <v>6.14</v>
    <v>6.74</v>
    <v>6.9</v>
    <v>7.6</v>
    <v>7.32</v>
    <v>7.42</v>
    <v>7.51</v>
    <v>7.99</v>
    <v>7.56</v>
    <v>7.82</v>
    <v>7.25</v>
    <v>7.67</v>
    <v>7.26</v>
    <v>7.42</v>
    <v>7.27</v>
    <v>6.47</v>
    <v>6.68</v>
    <v>6.61</v>
    <v>7.61</v>
    <v>6.84</v>
    <v>6.73</v>
    <v>7</v>
    <v>6.9</v>
    <v>7.11</v>
    <v>7.14</v>
    <v>7.49</v>
    <v>7.7949999999999999</v>
    <v>7.8</v>
    <v>7.8</v>
    <v>8</v>
    <v>8.39</v>
    <v>8.33</v>
    <v>8.42</v>
    <v>9.23</v>
    <v>9.2550000000000008</v>
    <v>9.1199999999999992</v>
    <v>8.91</v>
    <v>8.7100000000000009</v>
    <v>8.82</v>
    <v>8.58</v>
    <v>7.8</v>
    <v>8.02</v>
    <v>7.94</v>
    <v>7.88</v>
    <v>8.06</v>
    <v>8.02</v>
    <v>7.95</v>
    <v>7.96</v>
    <v>7.72</v>
    <v>7.8</v>
    <v>8.25</v>
    <v>8.4649999999999999</v>
    <v>8.58</v>
    <v>9.27</v>
    <v>9.23</v>
    <v>9.48</v>
    <v>9.23</v>
    <v>9.3000000000000007</v>
    <v>9.27</v>
    <v>9.2799999999999994</v>
    <v>9.7100000000000009</v>
    <v>10</v>
    <v>11.5</v>
    <v>13.02</v>
    <v>12.26</v>
    <v>12.23</v>
    <v>11.58</v>
    <v>11.81</v>
    <v>11.73</v>
    <v>12.11</v>
    <v>11.52</v>
    <v>11.55</v>
    <v>11.32</v>
    <v>11.22</v>
    <v>11.385</v>
    <v>10.96</v>
    <v>10.955</v>
    <v>10.32</v>
    <v>11.54</v>
    <v>12.13</v>
    <v>11.72</v>
    <v>12.29</v>
    <v>11.48</v>
    <v>11.48</v>
    <v>11.76</v>
    <v>11.49</v>
    <v>12.34</v>
    <v>12.24</v>
    <v>12.64</v>
    <v>12.35</v>
    <v>12.36</v>
    <v>12.05</v>
    <v>12.34</v>
    <v>12.63</v>
    <v>12.8</v>
    <v>12.91</v>
    <v>12.18</v>
    <v>11.945</v>
    <v>11.78</v>
    <v>12.16</v>
    <v>12.12</v>
    <v>11.94</v>
    <v>11.51</v>
    <v>11.59</v>
    <v>12.07</v>
    <v>12.05</v>
    <v>12.3</v>
    <v>12.97</v>
    <v>14.26</v>
    <v>13.83</v>
    <v>13.74</v>
    <v>13.81</v>
    <v>14.33</v>
    <v>14.45</v>
    <v>14.48</v>
    <v>14.41</v>
    <v>13.98</v>
    <v>15.63</v>
    <v>15.85</v>
    <v>16.079999999999998</v>
    <v>14.324999999999999</v>
    <v>15.04</v>
    <v>14.61</v>
    <v>15.28</v>
    <v>15.244999999999999</v>
    <v>14.81</v>
    <v>16.04</v>
    <v>15.79</v>
    <v>14.63</v>
    <v>14.12</v>
    <v>14.49</v>
    <v>15.59</v>
    <v>15.21</v>
    <v>14.06</v>
    <v>14.045</v>
    <v>14.85</v>
    <v>13.85</v>
    <v>12.29</v>
    <v>10.75</v>
    <v>11.82</v>
    <v>11.81</v>
    <v>12.3</v>
    <v>12.56</v>
    <v>12.47</v>
    <v>13.39</v>
    <v>13.76</v>
    <v>13.1</v>
    <v>13.46</v>
    <v>13.74</v>
    <v>13.22</v>
    <v>13.68</v>
    <v>14.03</v>
    <v>14.57</v>
    <v>14.86</v>
    <v>15.1</v>
    <v>13.54</v>
    <v>12.22</v>
    <v>12.55</v>
    <v>14.2</v>
    <v>14.33</v>
    <v>15.08</v>
    <v>15.69</v>
    <v>16.829999999999998</v>
    <v>17.82</v>
    <v>17.995000000000001</v>
    <v>17.95</v>
    <v>17.579999999999998</v>
    <v>17.18</v>
    <v>17.23</v>
    <v>17.170000000000002</v>
    <v>17.86</v>
    <v>17.5</v>
    <v>17.59</v>
    <v>17.27</v>
    <v>17.989999999999998</v>
    <v>17.88</v>
    <v>18.09</v>
    <v>17.77</v>
    <v>16.86</v>
    <v>14.57</v>
    <v>14.94</v>
    <v>17.440000000000001</v>
    <v>13.67</v>
    <v>5.88</v>
    <v>4.37</v>
    <v>4.47</v>
    <v>4.62</v>
    <v>4.54</v>
    <v>4.32</v>
    <v>4.5999999999999996</v>
    <v>5</v>
    <v>5.22</v>
    <v>5.29</v>
    <v>5.56</v>
  </a>
</arrayData>
</file>

<file path=xl/richData/rdrichvalue.xml><?xml version="1.0" encoding="utf-8"?>
<rvData xmlns="http://schemas.microsoft.com/office/spreadsheetml/2017/richdata" count="475">
  <rv s="0">
    <v>https://www.bing.com/financeapi/forcetrigger?t=a1nwrw&amp;q=XNAS%3aATRA&amp;form=skydnc</v>
    <v>Learn more on Bing</v>
  </rv>
  <rv s="1">
    <v>0</v>
    <v>ATARA BIOTHERAPEUTICS, INC. (XNAS:ATRA)</v>
    <v>2</v>
    <v>3</v>
    <v>Finance</v>
    <v>4</v>
    <v>en-US</v>
    <v>a1nwrw</v>
    <v>268435456</v>
    <v>1</v>
    <v>Powered by Refinitiv</v>
    <v>19.145</v>
    <v>4.2</v>
    <v>-0.40379999999999999</v>
    <v>-0.06</v>
    <v>-1.0791E-2</v>
    <v>-7.8299999999999995E-2</v>
    <v>-1.4236E-2</v>
    <v>USD</v>
    <v>Atara Biotherapeutics, Inc. is an allogeneic T-cell immunotherapy company. The Company is a developer of T-cell immunotherapy, leveraging its novel allogeneic Epstein-Barr virus (EBV) T-cell platform to develop transformative therapies for patients with serious diseases. Its pipeline products include Ebvallo (Tab-cel), ATA3219, and ATA3431. The Company’s T-cell immunotherapy, tab-cel (tabelecleucel), is in Phase III development for patients with EBV-driven post-transplant lymphoproliferative disease (EBV+ PTLD) who have failed rituximab or rituximab plus chemotherapy, as well as other EBV-driven diseases. Its ATA3219 allogeneic CD19 CAR T immunotherapy, targeting B-cell malignancies and autoimmune diseases, is based on a next-generation 1XX CAR co-stimulatory domain and EBV T-cell platform and does not require TCR or HLA gene editing. ATA3431 is an allogeneic, bispecific CAR directed against CD19 and CD20 for B-cell malignancies and autoimmune disease.</v>
    <v>38</v>
    <v>Nasdaq Stock Market</v>
    <v>XNAS</v>
    <v>XNAS</v>
    <v>1280 Rancho Conejo Blvd, THOUSAND OAKS, CA, 91320 US</v>
    <v>5.71</v>
    <v>Biotechnology &amp; Medical Research</v>
    <v>Stock</v>
    <v>46051.027489837499</v>
    <v>0</v>
    <v>5.35</v>
    <v>39656265</v>
    <v>ATARA BIOTHERAPEUTICS, INC.</v>
    <v>ATARA BIOTHERAPEUTICS, INC.</v>
    <v>5.6</v>
    <v>2.5064000000000002</v>
    <v>5.56</v>
    <v>5.5</v>
    <v>5.4217000000000004</v>
    <v>7210230</v>
    <v>ATRA</v>
    <v>ATARA BIOTHERAPEUTICS, INC. (XNAS:ATRA)</v>
    <v>192836</v>
    <v>589256</v>
    <v>2012</v>
  </rv>
  <rv s="2">
    <v>1</v>
  </rv>
  <rv s="3">
    <fb>45685</fb>
    <v>5</v>
  </rv>
  <rv s="3">
    <fb>8.36</fb>
    <v>6</v>
  </rv>
  <rv s="3">
    <fb>45686</fb>
    <v>5</v>
  </rv>
  <rv s="3">
    <fb>8.09</fb>
    <v>6</v>
  </rv>
  <rv s="3">
    <fb>45687</fb>
    <v>5</v>
  </rv>
  <rv s="3">
    <fb>8.49</fb>
    <v>6</v>
  </rv>
  <rv s="3">
    <fb>45688</fb>
    <v>5</v>
  </rv>
  <rv s="3">
    <fb>8.8800000000000008</fb>
    <v>6</v>
  </rv>
  <rv s="3">
    <fb>45691</fb>
    <v>5</v>
  </rv>
  <rv s="3">
    <fb>8.52</fb>
    <v>6</v>
  </rv>
  <rv s="3">
    <fb>45692</fb>
    <v>5</v>
  </rv>
  <rv s="3">
    <fb>9.3000000000000007</fb>
    <v>6</v>
  </rv>
  <rv s="3">
    <fb>45693</fb>
    <v>5</v>
  </rv>
  <rv s="3">
    <fb>9.34</fb>
    <v>6</v>
  </rv>
  <rv s="3">
    <fb>45694</fb>
    <v>5</v>
  </rv>
  <rv s="3">
    <fb>10.51</fb>
    <v>6</v>
  </rv>
  <rv s="3">
    <fb>45695</fb>
    <v>5</v>
  </rv>
  <rv s="3">
    <fb>10.06</fb>
    <v>6</v>
  </rv>
  <rv s="3">
    <fb>45698</fb>
    <v>5</v>
  </rv>
  <rv s="3">
    <fb>9.26</fb>
    <v>6</v>
  </rv>
  <rv s="3">
    <fb>45699</fb>
    <v>5</v>
  </rv>
  <rv s="3">
    <fb>8.42</fb>
    <v>6</v>
  </rv>
  <rv s="3">
    <fb>45700</fb>
    <v>5</v>
  </rv>
  <rv s="3">
    <fb>8.6</fb>
    <v>6</v>
  </rv>
  <rv s="3">
    <fb>45701</fb>
    <v>5</v>
  </rv>
  <rv s="3">
    <fb>8.7200000000000006</fb>
    <v>6</v>
  </rv>
  <rv s="3">
    <fb>45702</fb>
    <v>5</v>
  </rv>
  <rv s="3">
    <fb>8.59</fb>
    <v>6</v>
  </rv>
  <rv s="3">
    <fb>45706</fb>
    <v>5</v>
  </rv>
  <rv s="3">
    <fb>8.08</fb>
    <v>6</v>
  </rv>
  <rv s="3">
    <fb>45707</fb>
    <v>5</v>
  </rv>
  <rv s="3">
    <fb>7.77</fb>
    <v>6</v>
  </rv>
  <rv s="3">
    <fb>45708</fb>
    <v>5</v>
  </rv>
  <rv s="3">
    <fb>7.52</fb>
    <v>6</v>
  </rv>
  <rv s="3">
    <fb>45709</fb>
    <v>5</v>
  </rv>
  <rv s="3">
    <fb>7.11</fb>
    <v>6</v>
  </rv>
  <rv s="3">
    <fb>45712</fb>
    <v>5</v>
  </rv>
  <rv s="3">
    <fb>7.25</fb>
    <v>6</v>
  </rv>
  <rv s="3">
    <fb>45713</fb>
    <v>5</v>
  </rv>
  <rv s="3">
    <fb>7.34</fb>
    <v>6</v>
  </rv>
  <rv s="3">
    <fb>45714</fb>
    <v>5</v>
  </rv>
  <rv s="3">
    <fb>7.39</fb>
    <v>6</v>
  </rv>
  <rv s="3">
    <fb>45715</fb>
    <v>5</v>
  </rv>
  <rv s="3">
    <fb>6.89</fb>
    <v>6</v>
  </rv>
  <rv s="3">
    <fb>45716</fb>
    <v>5</v>
  </rv>
  <rv s="3">
    <fb>6.91</fb>
    <v>6</v>
  </rv>
  <rv s="3">
    <fb>45719</fb>
    <v>5</v>
  </rv>
  <rv s="3">
    <fb>7</fb>
    <v>6</v>
  </rv>
  <rv s="3">
    <fb>45720</fb>
    <v>5</v>
  </rv>
  <rv s="3">
    <fb>7.13</fb>
    <v>6</v>
  </rv>
  <rv s="3">
    <fb>45721</fb>
    <v>5</v>
  </rv>
  <rv s="3">
    <fb>7.31</fb>
    <v>6</v>
  </rv>
  <rv s="3">
    <fb>45722</fb>
    <v>5</v>
  </rv>
  <rv s="3">
    <fb>6.8</fb>
    <v>6</v>
  </rv>
  <rv s="3">
    <fb>45723</fb>
    <v>5</v>
  </rv>
  <rv s="3">
    <fb>6.9</fb>
    <v>6</v>
  </rv>
  <rv s="3">
    <fb>45726</fb>
    <v>5</v>
  </rv>
  <rv s="3">
    <fb>6.16</fb>
    <v>6</v>
  </rv>
  <rv s="3">
    <fb>45727</fb>
    <v>5</v>
  </rv>
  <rv s="3">
    <fb>6.61</fb>
    <v>6</v>
  </rv>
  <rv s="3">
    <fb>45728</fb>
    <v>5</v>
  </rv>
  <rv s="3">
    <fb>45729</fb>
    <v>5</v>
  </rv>
  <rv s="3">
    <fb>6.86</fb>
    <v>6</v>
  </rv>
  <rv s="3">
    <fb>45730</fb>
    <v>5</v>
  </rv>
  <rv s="3">
    <fb>45733</fb>
    <v>5</v>
  </rv>
  <rv s="3">
    <fb>7.17</fb>
    <v>6</v>
  </rv>
  <rv s="3">
    <fb>45734</fb>
    <v>5</v>
  </rv>
  <rv s="3">
    <fb>7.02</fb>
    <v>6</v>
  </rv>
  <rv s="3">
    <fb>45735</fb>
    <v>5</v>
  </rv>
  <rv s="3">
    <fb>45736</fb>
    <v>5</v>
  </rv>
  <rv s="3">
    <fb>6.74</fb>
    <v>6</v>
  </rv>
  <rv s="3">
    <fb>45737</fb>
    <v>5</v>
  </rv>
  <rv s="3">
    <fb>6.63</fb>
    <v>6</v>
  </rv>
  <rv s="3">
    <fb>45740</fb>
    <v>5</v>
  </rv>
  <rv s="3">
    <fb>6.94</fb>
    <v>6</v>
  </rv>
  <rv s="3">
    <fb>45741</fb>
    <v>5</v>
  </rv>
  <rv s="3">
    <fb>6.92</fb>
    <v>6</v>
  </rv>
  <rv s="3">
    <fb>45742</fb>
    <v>5</v>
  </rv>
  <rv s="3">
    <fb>6.62</fb>
    <v>6</v>
  </rv>
  <rv s="3">
    <fb>45743</fb>
    <v>5</v>
  </rv>
  <rv s="3">
    <fb>6.88</fb>
    <v>6</v>
  </rv>
  <rv s="3">
    <fb>45744</fb>
    <v>5</v>
  </rv>
  <rv s="3">
    <fb>6.53</fb>
    <v>6</v>
  </rv>
  <rv s="3">
    <fb>45747</fb>
    <v>5</v>
  </rv>
  <rv s="3">
    <fb>5.94</fb>
    <v>6</v>
  </rv>
  <rv s="3">
    <fb>45748</fb>
    <v>5</v>
  </rv>
  <rv s="3">
    <fb>6.01</fb>
    <v>6</v>
  </rv>
  <rv s="3">
    <fb>45749</fb>
    <v>5</v>
  </rv>
  <rv s="3">
    <fb>6.13</fb>
    <v>6</v>
  </rv>
  <rv s="3">
    <fb>45750</fb>
    <v>5</v>
  </rv>
  <rv s="3">
    <fb>5.92</fb>
    <v>6</v>
  </rv>
  <rv s="3">
    <fb>45751</fb>
    <v>5</v>
  </rv>
  <rv s="3">
    <fb>5.59</fb>
    <v>6</v>
  </rv>
  <rv s="3">
    <fb>45754</fb>
    <v>5</v>
  </rv>
  <rv s="3">
    <fb>5.73</fb>
    <v>6</v>
  </rv>
  <rv s="3">
    <fb>45755</fb>
    <v>5</v>
  </rv>
  <rv s="3">
    <fb>45756</fb>
    <v>5</v>
  </rv>
  <rv s="3">
    <fb>5.89</fb>
    <v>6</v>
  </rv>
  <rv s="3">
    <fb>45757</fb>
    <v>5</v>
  </rv>
  <rv s="3">
    <fb>5.3</fb>
    <v>6</v>
  </rv>
  <rv s="3">
    <fb>45758</fb>
    <v>5</v>
  </rv>
  <rv s="3">
    <fb>5.53</fb>
    <v>6</v>
  </rv>
  <rv s="3">
    <fb>45761</fb>
    <v>5</v>
  </rv>
  <rv s="3">
    <fb>5.85</fb>
    <v>6</v>
  </rv>
  <rv s="3">
    <fb>45762</fb>
    <v>5</v>
  </rv>
  <rv s="3">
    <fb>5.98</fb>
    <v>6</v>
  </rv>
  <rv s="3">
    <fb>45763</fb>
    <v>5</v>
  </rv>
  <rv s="3">
    <fb>5.84</fb>
    <v>6</v>
  </rv>
  <rv s="3">
    <fb>45764</fb>
    <v>5</v>
  </rv>
  <rv s="3">
    <fb>6.17</fb>
    <v>6</v>
  </rv>
  <rv s="3">
    <fb>45768</fb>
    <v>5</v>
  </rv>
  <rv s="3">
    <fb>6.14</fb>
    <v>6</v>
  </rv>
  <rv s="3">
    <fb>45769</fb>
    <v>5</v>
  </rv>
  <rv s="3">
    <fb>45770</fb>
    <v>5</v>
  </rv>
  <rv s="3">
    <fb>45771</fb>
    <v>5</v>
  </rv>
  <rv s="3">
    <fb>7.6</fb>
    <v>6</v>
  </rv>
  <rv s="3">
    <fb>45772</fb>
    <v>5</v>
  </rv>
  <rv s="3">
    <fb>7.32</fb>
    <v>6</v>
  </rv>
  <rv s="3">
    <fb>45775</fb>
    <v>5</v>
  </rv>
  <rv s="3">
    <fb>7.42</fb>
    <v>6</v>
  </rv>
  <rv s="3">
    <fb>45776</fb>
    <v>5</v>
  </rv>
  <rv s="3">
    <fb>7.51</fb>
    <v>6</v>
  </rv>
  <rv s="3">
    <fb>45777</fb>
    <v>5</v>
  </rv>
  <rv s="3">
    <fb>7.99</fb>
    <v>6</v>
  </rv>
  <rv s="3">
    <fb>45778</fb>
    <v>5</v>
  </rv>
  <rv s="3">
    <fb>7.56</fb>
    <v>6</v>
  </rv>
  <rv s="3">
    <fb>45779</fb>
    <v>5</v>
  </rv>
  <rv s="3">
    <fb>7.82</fb>
    <v>6</v>
  </rv>
  <rv s="3">
    <fb>45782</fb>
    <v>5</v>
  </rv>
  <rv s="3">
    <fb>45783</fb>
    <v>5</v>
  </rv>
  <rv s="3">
    <fb>7.67</fb>
    <v>6</v>
  </rv>
  <rv s="3">
    <fb>45784</fb>
    <v>5</v>
  </rv>
  <rv s="3">
    <fb>7.26</fb>
    <v>6</v>
  </rv>
  <rv s="3">
    <fb>45785</fb>
    <v>5</v>
  </rv>
  <rv s="3">
    <fb>45786</fb>
    <v>5</v>
  </rv>
  <rv s="3">
    <fb>7.27</fb>
    <v>6</v>
  </rv>
  <rv s="3">
    <fb>45789</fb>
    <v>5</v>
  </rv>
  <rv s="3">
    <fb>6.47</fb>
    <v>6</v>
  </rv>
  <rv s="3">
    <fb>45790</fb>
    <v>5</v>
  </rv>
  <rv s="3">
    <fb>6.68</fb>
    <v>6</v>
  </rv>
  <rv s="3">
    <fb>45791</fb>
    <v>5</v>
  </rv>
  <rv s="3">
    <fb>45792</fb>
    <v>5</v>
  </rv>
  <rv s="3">
    <fb>7.61</fb>
    <v>6</v>
  </rv>
  <rv s="3">
    <fb>45793</fb>
    <v>5</v>
  </rv>
  <rv s="3">
    <fb>6.84</fb>
    <v>6</v>
  </rv>
  <rv s="3">
    <fb>45796</fb>
    <v>5</v>
  </rv>
  <rv s="3">
    <fb>6.73</fb>
    <v>6</v>
  </rv>
  <rv s="3">
    <fb>45797</fb>
    <v>5</v>
  </rv>
  <rv s="3">
    <fb>45798</fb>
    <v>5</v>
  </rv>
  <rv s="3">
    <fb>45799</fb>
    <v>5</v>
  </rv>
  <rv s="3">
    <fb>45800</fb>
    <v>5</v>
  </rv>
  <rv s="3">
    <fb>7.14</fb>
    <v>6</v>
  </rv>
  <rv s="3">
    <fb>45804</fb>
    <v>5</v>
  </rv>
  <rv s="3">
    <fb>7.49</fb>
    <v>6</v>
  </rv>
  <rv s="3">
    <fb>45805</fb>
    <v>5</v>
  </rv>
  <rv s="3">
    <fb>7.7949999999999999</fb>
    <v>6</v>
  </rv>
  <rv s="3">
    <fb>45806</fb>
    <v>5</v>
  </rv>
  <rv s="3">
    <fb>7.8</fb>
    <v>6</v>
  </rv>
  <rv s="3">
    <fb>45807</fb>
    <v>5</v>
  </rv>
  <rv s="3">
    <fb>45810</fb>
    <v>5</v>
  </rv>
  <rv s="3">
    <fb>8</fb>
    <v>6</v>
  </rv>
  <rv s="3">
    <fb>45811</fb>
    <v>5</v>
  </rv>
  <rv s="3">
    <fb>8.39</fb>
    <v>6</v>
  </rv>
  <rv s="3">
    <fb>45812</fb>
    <v>5</v>
  </rv>
  <rv s="3">
    <fb>8.33</fb>
    <v>6</v>
  </rv>
  <rv s="3">
    <fb>45813</fb>
    <v>5</v>
  </rv>
  <rv s="3">
    <fb>45814</fb>
    <v>5</v>
  </rv>
  <rv s="3">
    <fb>9.23</fb>
    <v>6</v>
  </rv>
  <rv s="3">
    <fb>45817</fb>
    <v>5</v>
  </rv>
  <rv s="3">
    <fb>9.2550000000000008</fb>
    <v>6</v>
  </rv>
  <rv s="3">
    <fb>45818</fb>
    <v>5</v>
  </rv>
  <rv s="3">
    <fb>9.1199999999999992</fb>
    <v>6</v>
  </rv>
  <rv s="3">
    <fb>45819</fb>
    <v>5</v>
  </rv>
  <rv s="3">
    <fb>8.91</fb>
    <v>6</v>
  </rv>
  <rv s="3">
    <fb>45820</fb>
    <v>5</v>
  </rv>
  <rv s="3">
    <fb>8.7100000000000009</fb>
    <v>6</v>
  </rv>
  <rv s="3">
    <fb>45821</fb>
    <v>5</v>
  </rv>
  <rv s="3">
    <fb>8.82</fb>
    <v>6</v>
  </rv>
  <rv s="3">
    <fb>45824</fb>
    <v>5</v>
  </rv>
  <rv s="3">
    <fb>8.58</fb>
    <v>6</v>
  </rv>
  <rv s="3">
    <fb>45825</fb>
    <v>5</v>
  </rv>
  <rv s="3">
    <fb>45826</fb>
    <v>5</v>
  </rv>
  <rv s="3">
    <fb>8.02</fb>
    <v>6</v>
  </rv>
  <rv s="3">
    <fb>45828</fb>
    <v>5</v>
  </rv>
  <rv s="3">
    <fb>7.94</fb>
    <v>6</v>
  </rv>
  <rv s="3">
    <fb>45831</fb>
    <v>5</v>
  </rv>
  <rv s="3">
    <fb>7.88</fb>
    <v>6</v>
  </rv>
  <rv s="3">
    <fb>45832</fb>
    <v>5</v>
  </rv>
  <rv s="3">
    <fb>8.06</fb>
    <v>6</v>
  </rv>
  <rv s="3">
    <fb>45833</fb>
    <v>5</v>
  </rv>
  <rv s="3">
    <fb>45834</fb>
    <v>5</v>
  </rv>
  <rv s="3">
    <fb>7.95</fb>
    <v>6</v>
  </rv>
  <rv s="3">
    <fb>45835</fb>
    <v>5</v>
  </rv>
  <rv s="3">
    <fb>7.96</fb>
    <v>6</v>
  </rv>
  <rv s="3">
    <fb>45838</fb>
    <v>5</v>
  </rv>
  <rv s="3">
    <fb>7.72</fb>
    <v>6</v>
  </rv>
  <rv s="3">
    <fb>45839</fb>
    <v>5</v>
  </rv>
  <rv s="3">
    <fb>45840</fb>
    <v>5</v>
  </rv>
  <rv s="3">
    <fb>8.25</fb>
    <v>6</v>
  </rv>
  <rv s="3">
    <fb>45841</fb>
    <v>5</v>
  </rv>
  <rv s="3">
    <fb>8.4649999999999999</fb>
    <v>6</v>
  </rv>
  <rv s="3">
    <fb>45845</fb>
    <v>5</v>
  </rv>
  <rv s="3">
    <fb>45846</fb>
    <v>5</v>
  </rv>
  <rv s="3">
    <fb>9.27</fb>
    <v>6</v>
  </rv>
  <rv s="3">
    <fb>45847</fb>
    <v>5</v>
  </rv>
  <rv s="3">
    <fb>45848</fb>
    <v>5</v>
  </rv>
  <rv s="3">
    <fb>9.48</fb>
    <v>6</v>
  </rv>
  <rv s="3">
    <fb>45849</fb>
    <v>5</v>
  </rv>
  <rv s="3">
    <fb>45852</fb>
    <v>5</v>
  </rv>
  <rv s="3">
    <fb>45853</fb>
    <v>5</v>
  </rv>
  <rv s="3">
    <fb>45854</fb>
    <v>5</v>
  </rv>
  <rv s="3">
    <fb>9.2799999999999994</fb>
    <v>6</v>
  </rv>
  <rv s="3">
    <fb>45855</fb>
    <v>5</v>
  </rv>
  <rv s="3">
    <fb>9.7100000000000009</fb>
    <v>6</v>
  </rv>
  <rv s="3">
    <fb>45856</fb>
    <v>5</v>
  </rv>
  <rv s="3">
    <fb>10</fb>
    <v>6</v>
  </rv>
  <rv s="3">
    <fb>45859</fb>
    <v>5</v>
  </rv>
  <rv s="3">
    <fb>11.5</fb>
    <v>6</v>
  </rv>
  <rv s="3">
    <fb>45860</fb>
    <v>5</v>
  </rv>
  <rv s="3">
    <fb>13.02</fb>
    <v>6</v>
  </rv>
  <rv s="3">
    <fb>45861</fb>
    <v>5</v>
  </rv>
  <rv s="3">
    <fb>12.26</fb>
    <v>6</v>
  </rv>
  <rv s="3">
    <fb>45862</fb>
    <v>5</v>
  </rv>
  <rv s="3">
    <fb>12.23</fb>
    <v>6</v>
  </rv>
  <rv s="3">
    <fb>45863</fb>
    <v>5</v>
  </rv>
  <rv s="3">
    <fb>11.58</fb>
    <v>6</v>
  </rv>
  <rv s="3">
    <fb>45866</fb>
    <v>5</v>
  </rv>
  <rv s="3">
    <fb>11.81</fb>
    <v>6</v>
  </rv>
  <rv s="3">
    <fb>45867</fb>
    <v>5</v>
  </rv>
  <rv s="3">
    <fb>11.73</fb>
    <v>6</v>
  </rv>
  <rv s="3">
    <fb>45868</fb>
    <v>5</v>
  </rv>
  <rv s="3">
    <fb>12.11</fb>
    <v>6</v>
  </rv>
  <rv s="3">
    <fb>45869</fb>
    <v>5</v>
  </rv>
  <rv s="3">
    <fb>11.52</fb>
    <v>6</v>
  </rv>
  <rv s="3">
    <fb>45870</fb>
    <v>5</v>
  </rv>
  <rv s="3">
    <fb>11.55</fb>
    <v>6</v>
  </rv>
  <rv s="3">
    <fb>45873</fb>
    <v>5</v>
  </rv>
  <rv s="3">
    <fb>11.32</fb>
    <v>6</v>
  </rv>
  <rv s="3">
    <fb>45874</fb>
    <v>5</v>
  </rv>
  <rv s="3">
    <fb>11.22</fb>
    <v>6</v>
  </rv>
  <rv s="3">
    <fb>45875</fb>
    <v>5</v>
  </rv>
  <rv s="3">
    <fb>11.385</fb>
    <v>6</v>
  </rv>
  <rv s="3">
    <fb>45876</fb>
    <v>5</v>
  </rv>
  <rv s="3">
    <fb>10.96</fb>
    <v>6</v>
  </rv>
  <rv s="3">
    <fb>45877</fb>
    <v>5</v>
  </rv>
  <rv s="3">
    <fb>10.955</fb>
    <v>6</v>
  </rv>
  <rv s="3">
    <fb>45880</fb>
    <v>5</v>
  </rv>
  <rv s="3">
    <fb>10.32</fb>
    <v>6</v>
  </rv>
  <rv s="3">
    <fb>45881</fb>
    <v>5</v>
  </rv>
  <rv s="3">
    <fb>11.54</fb>
    <v>6</v>
  </rv>
  <rv s="3">
    <fb>45882</fb>
    <v>5</v>
  </rv>
  <rv s="3">
    <fb>12.13</fb>
    <v>6</v>
  </rv>
  <rv s="3">
    <fb>45883</fb>
    <v>5</v>
  </rv>
  <rv s="3">
    <fb>11.72</fb>
    <v>6</v>
  </rv>
  <rv s="3">
    <fb>45884</fb>
    <v>5</v>
  </rv>
  <rv s="3">
    <fb>12.29</fb>
    <v>6</v>
  </rv>
  <rv s="3">
    <fb>45887</fb>
    <v>5</v>
  </rv>
  <rv s="3">
    <fb>11.48</fb>
    <v>6</v>
  </rv>
  <rv s="3">
    <fb>45888</fb>
    <v>5</v>
  </rv>
  <rv s="3">
    <fb>45889</fb>
    <v>5</v>
  </rv>
  <rv s="3">
    <fb>11.76</fb>
    <v>6</v>
  </rv>
  <rv s="3">
    <fb>45890</fb>
    <v>5</v>
  </rv>
  <rv s="3">
    <fb>11.49</fb>
    <v>6</v>
  </rv>
  <rv s="3">
    <fb>45891</fb>
    <v>5</v>
  </rv>
  <rv s="3">
    <fb>12.34</fb>
    <v>6</v>
  </rv>
  <rv s="3">
    <fb>45894</fb>
    <v>5</v>
  </rv>
  <rv s="3">
    <fb>12.24</fb>
    <v>6</v>
  </rv>
  <rv s="3">
    <fb>45895</fb>
    <v>5</v>
  </rv>
  <rv s="3">
    <fb>12.64</fb>
    <v>6</v>
  </rv>
  <rv s="3">
    <fb>45896</fb>
    <v>5</v>
  </rv>
  <rv s="3">
    <fb>12.35</fb>
    <v>6</v>
  </rv>
  <rv s="3">
    <fb>45897</fb>
    <v>5</v>
  </rv>
  <rv s="3">
    <fb>12.36</fb>
    <v>6</v>
  </rv>
  <rv s="3">
    <fb>45898</fb>
    <v>5</v>
  </rv>
  <rv s="3">
    <fb>12.05</fb>
    <v>6</v>
  </rv>
  <rv s="3">
    <fb>45902</fb>
    <v>5</v>
  </rv>
  <rv s="3">
    <fb>45903</fb>
    <v>5</v>
  </rv>
  <rv s="3">
    <fb>12.63</fb>
    <v>6</v>
  </rv>
  <rv s="3">
    <fb>45904</fb>
    <v>5</v>
  </rv>
  <rv s="3">
    <fb>12.8</fb>
    <v>6</v>
  </rv>
  <rv s="3">
    <fb>45905</fb>
    <v>5</v>
  </rv>
  <rv s="3">
    <fb>12.91</fb>
    <v>6</v>
  </rv>
  <rv s="3">
    <fb>45908</fb>
    <v>5</v>
  </rv>
  <rv s="3">
    <fb>12.18</fb>
    <v>6</v>
  </rv>
  <rv s="3">
    <fb>45909</fb>
    <v>5</v>
  </rv>
  <rv s="3">
    <fb>11.945</fb>
    <v>6</v>
  </rv>
  <rv s="3">
    <fb>45910</fb>
    <v>5</v>
  </rv>
  <rv s="3">
    <fb>11.78</fb>
    <v>6</v>
  </rv>
  <rv s="3">
    <fb>45911</fb>
    <v>5</v>
  </rv>
  <rv s="3">
    <fb>12.16</fb>
    <v>6</v>
  </rv>
  <rv s="3">
    <fb>45912</fb>
    <v>5</v>
  </rv>
  <rv s="3">
    <fb>12.12</fb>
    <v>6</v>
  </rv>
  <rv s="3">
    <fb>45915</fb>
    <v>5</v>
  </rv>
  <rv s="3">
    <fb>11.94</fb>
    <v>6</v>
  </rv>
  <rv s="3">
    <fb>45916</fb>
    <v>5</v>
  </rv>
  <rv s="3">
    <fb>11.51</fb>
    <v>6</v>
  </rv>
  <rv s="3">
    <fb>45917</fb>
    <v>5</v>
  </rv>
  <rv s="3">
    <fb>11.59</fb>
    <v>6</v>
  </rv>
  <rv s="3">
    <fb>45918</fb>
    <v>5</v>
  </rv>
  <rv s="3">
    <fb>12.07</fb>
    <v>6</v>
  </rv>
  <rv s="3">
    <fb>45919</fb>
    <v>5</v>
  </rv>
  <rv s="3">
    <fb>45922</fb>
    <v>5</v>
  </rv>
  <rv s="3">
    <fb>12.3</fb>
    <v>6</v>
  </rv>
  <rv s="3">
    <fb>45923</fb>
    <v>5</v>
  </rv>
  <rv s="3">
    <fb>12.97</fb>
    <v>6</v>
  </rv>
  <rv s="3">
    <fb>45924</fb>
    <v>5</v>
  </rv>
  <rv s="3">
    <fb>14.26</fb>
    <v>6</v>
  </rv>
  <rv s="3">
    <fb>45925</fb>
    <v>5</v>
  </rv>
  <rv s="3">
    <fb>13.83</fb>
    <v>6</v>
  </rv>
  <rv s="3">
    <fb>45926</fb>
    <v>5</v>
  </rv>
  <rv s="3">
    <fb>13.74</fb>
    <v>6</v>
  </rv>
  <rv s="3">
    <fb>45929</fb>
    <v>5</v>
  </rv>
  <rv s="3">
    <fb>13.81</fb>
    <v>6</v>
  </rv>
  <rv s="3">
    <fb>45930</fb>
    <v>5</v>
  </rv>
  <rv s="3">
    <fb>14.33</fb>
    <v>6</v>
  </rv>
  <rv s="3">
    <fb>45931</fb>
    <v>5</v>
  </rv>
  <rv s="3">
    <fb>14.45</fb>
    <v>6</v>
  </rv>
  <rv s="3">
    <fb>45932</fb>
    <v>5</v>
  </rv>
  <rv s="3">
    <fb>14.48</fb>
    <v>6</v>
  </rv>
  <rv s="3">
    <fb>45933</fb>
    <v>5</v>
  </rv>
  <rv s="3">
    <fb>14.41</fb>
    <v>6</v>
  </rv>
  <rv s="3">
    <fb>45936</fb>
    <v>5</v>
  </rv>
  <rv s="3">
    <fb>13.98</fb>
    <v>6</v>
  </rv>
  <rv s="3">
    <fb>45937</fb>
    <v>5</v>
  </rv>
  <rv s="3">
    <fb>15.63</fb>
    <v>6</v>
  </rv>
  <rv s="3">
    <fb>45938</fb>
    <v>5</v>
  </rv>
  <rv s="3">
    <fb>15.85</fb>
    <v>6</v>
  </rv>
  <rv s="3">
    <fb>45939</fb>
    <v>5</v>
  </rv>
  <rv s="3">
    <fb>16.079999999999998</fb>
    <v>6</v>
  </rv>
  <rv s="3">
    <fb>45940</fb>
    <v>5</v>
  </rv>
  <rv s="3">
    <fb>14.324999999999999</fb>
    <v>6</v>
  </rv>
  <rv s="3">
    <fb>45943</fb>
    <v>5</v>
  </rv>
  <rv s="3">
    <fb>15.04</fb>
    <v>6</v>
  </rv>
  <rv s="3">
    <fb>45944</fb>
    <v>5</v>
  </rv>
  <rv s="3">
    <fb>14.61</fb>
    <v>6</v>
  </rv>
  <rv s="3">
    <fb>45945</fb>
    <v>5</v>
  </rv>
  <rv s="3">
    <fb>15.28</fb>
    <v>6</v>
  </rv>
  <rv s="3">
    <fb>45946</fb>
    <v>5</v>
  </rv>
  <rv s="3">
    <fb>15.244999999999999</fb>
    <v>6</v>
  </rv>
  <rv s="3">
    <fb>45947</fb>
    <v>5</v>
  </rv>
  <rv s="3">
    <fb>14.81</fb>
    <v>6</v>
  </rv>
  <rv s="3">
    <fb>45950</fb>
    <v>5</v>
  </rv>
  <rv s="3">
    <fb>16.04</fb>
    <v>6</v>
  </rv>
  <rv s="3">
    <fb>45951</fb>
    <v>5</v>
  </rv>
  <rv s="3">
    <fb>15.79</fb>
    <v>6</v>
  </rv>
  <rv s="3">
    <fb>45952</fb>
    <v>5</v>
  </rv>
  <rv s="3">
    <fb>14.63</fb>
    <v>6</v>
  </rv>
  <rv s="3">
    <fb>45953</fb>
    <v>5</v>
  </rv>
  <rv s="3">
    <fb>14.12</fb>
    <v>6</v>
  </rv>
  <rv s="3">
    <fb>45954</fb>
    <v>5</v>
  </rv>
  <rv s="3">
    <fb>14.49</fb>
    <v>6</v>
  </rv>
  <rv s="3">
    <fb>45957</fb>
    <v>5</v>
  </rv>
  <rv s="3">
    <fb>15.59</fb>
    <v>6</v>
  </rv>
  <rv s="3">
    <fb>45958</fb>
    <v>5</v>
  </rv>
  <rv s="3">
    <fb>15.21</fb>
    <v>6</v>
  </rv>
  <rv s="3">
    <fb>45959</fb>
    <v>5</v>
  </rv>
  <rv s="3">
    <fb>14.06</fb>
    <v>6</v>
  </rv>
  <rv s="3">
    <fb>45960</fb>
    <v>5</v>
  </rv>
  <rv s="3">
    <fb>14.045</fb>
    <v>6</v>
  </rv>
  <rv s="3">
    <fb>45961</fb>
    <v>5</v>
  </rv>
  <rv s="3">
    <fb>14.85</fb>
    <v>6</v>
  </rv>
  <rv s="3">
    <fb>45964</fb>
    <v>5</v>
  </rv>
  <rv s="3">
    <fb>13.85</fb>
    <v>6</v>
  </rv>
  <rv s="3">
    <fb>45965</fb>
    <v>5</v>
  </rv>
  <rv s="3">
    <fb>45966</fb>
    <v>5</v>
  </rv>
  <rv s="3">
    <fb>10.75</fb>
    <v>6</v>
  </rv>
  <rv s="3">
    <fb>45967</fb>
    <v>5</v>
  </rv>
  <rv s="3">
    <fb>11.82</fb>
    <v>6</v>
  </rv>
  <rv s="3">
    <fb>45968</fb>
    <v>5</v>
  </rv>
  <rv s="3">
    <fb>45971</fb>
    <v>5</v>
  </rv>
  <rv s="3">
    <fb>45972</fb>
    <v>5</v>
  </rv>
  <rv s="3">
    <fb>12.56</fb>
    <v>6</v>
  </rv>
  <rv s="3">
    <fb>45973</fb>
    <v>5</v>
  </rv>
  <rv s="3">
    <fb>12.47</fb>
    <v>6</v>
  </rv>
  <rv s="3">
    <fb>45974</fb>
    <v>5</v>
  </rv>
  <rv s="3">
    <fb>13.39</fb>
    <v>6</v>
  </rv>
  <rv s="3">
    <fb>45975</fb>
    <v>5</v>
  </rv>
  <rv s="3">
    <fb>13.76</fb>
    <v>6</v>
  </rv>
  <rv s="3">
    <fb>45978</fb>
    <v>5</v>
  </rv>
  <rv s="3">
    <fb>13.1</fb>
    <v>6</v>
  </rv>
  <rv s="3">
    <fb>45979</fb>
    <v>5</v>
  </rv>
  <rv s="3">
    <fb>13.46</fb>
    <v>6</v>
  </rv>
  <rv s="3">
    <fb>45980</fb>
    <v>5</v>
  </rv>
  <rv s="3">
    <fb>45981</fb>
    <v>5</v>
  </rv>
  <rv s="3">
    <fb>13.22</fb>
    <v>6</v>
  </rv>
  <rv s="3">
    <fb>45982</fb>
    <v>5</v>
  </rv>
  <rv s="3">
    <fb>13.68</fb>
    <v>6</v>
  </rv>
  <rv s="3">
    <fb>45985</fb>
    <v>5</v>
  </rv>
  <rv s="3">
    <fb>14.03</fb>
    <v>6</v>
  </rv>
  <rv s="3">
    <fb>45986</fb>
    <v>5</v>
  </rv>
  <rv s="3">
    <fb>14.57</fb>
    <v>6</v>
  </rv>
  <rv s="3">
    <fb>45987</fb>
    <v>5</v>
  </rv>
  <rv s="3">
    <fb>14.86</fb>
    <v>6</v>
  </rv>
  <rv s="3">
    <fb>45989</fb>
    <v>5</v>
  </rv>
  <rv s="3">
    <fb>15.1</fb>
    <v>6</v>
  </rv>
  <rv s="3">
    <fb>45992</fb>
    <v>5</v>
  </rv>
  <rv s="3">
    <fb>13.54</fb>
    <v>6</v>
  </rv>
  <rv s="3">
    <fb>45993</fb>
    <v>5</v>
  </rv>
  <rv s="3">
    <fb>12.22</fb>
    <v>6</v>
  </rv>
  <rv s="3">
    <fb>45994</fb>
    <v>5</v>
  </rv>
  <rv s="3">
    <fb>12.55</fb>
    <v>6</v>
  </rv>
  <rv s="3">
    <fb>45995</fb>
    <v>5</v>
  </rv>
  <rv s="3">
    <fb>14.2</fb>
    <v>6</v>
  </rv>
  <rv s="3">
    <fb>45996</fb>
    <v>5</v>
  </rv>
  <rv s="3">
    <fb>45999</fb>
    <v>5</v>
  </rv>
  <rv s="3">
    <fb>15.08</fb>
    <v>6</v>
  </rv>
  <rv s="3">
    <fb>46000</fb>
    <v>5</v>
  </rv>
  <rv s="3">
    <fb>15.69</fb>
    <v>6</v>
  </rv>
  <rv s="3">
    <fb>46001</fb>
    <v>5</v>
  </rv>
  <rv s="3">
    <fb>16.829999999999998</fb>
    <v>6</v>
  </rv>
  <rv s="3">
    <fb>46002</fb>
    <v>5</v>
  </rv>
  <rv s="3">
    <fb>17.82</fb>
    <v>6</v>
  </rv>
  <rv s="3">
    <fb>46003</fb>
    <v>5</v>
  </rv>
  <rv s="3">
    <fb>17.995000000000001</fb>
    <v>6</v>
  </rv>
  <rv s="3">
    <fb>46006</fb>
    <v>5</v>
  </rv>
  <rv s="3">
    <fb>17.95</fb>
    <v>6</v>
  </rv>
  <rv s="3">
    <fb>46007</fb>
    <v>5</v>
  </rv>
  <rv s="3">
    <fb>17.579999999999998</fb>
    <v>6</v>
  </rv>
  <rv s="3">
    <fb>46008</fb>
    <v>5</v>
  </rv>
  <rv s="3">
    <fb>17.18</fb>
    <v>6</v>
  </rv>
  <rv s="3">
    <fb>46009</fb>
    <v>5</v>
  </rv>
  <rv s="3">
    <fb>17.23</fb>
    <v>6</v>
  </rv>
  <rv s="3">
    <fb>46010</fb>
    <v>5</v>
  </rv>
  <rv s="3">
    <fb>17.170000000000002</fb>
    <v>6</v>
  </rv>
  <rv s="3">
    <fb>46013</fb>
    <v>5</v>
  </rv>
  <rv s="3">
    <fb>17.86</fb>
    <v>6</v>
  </rv>
  <rv s="3">
    <fb>46014</fb>
    <v>5</v>
  </rv>
  <rv s="3">
    <fb>17.5</fb>
    <v>6</v>
  </rv>
  <rv s="3">
    <fb>46015</fb>
    <v>5</v>
  </rv>
  <rv s="3">
    <fb>17.59</fb>
    <v>6</v>
  </rv>
  <rv s="3">
    <fb>46017</fb>
    <v>5</v>
  </rv>
  <rv s="3">
    <fb>17.27</fb>
    <v>6</v>
  </rv>
  <rv s="3">
    <fb>46020</fb>
    <v>5</v>
  </rv>
  <rv s="3">
    <fb>17.989999999999998</fb>
    <v>6</v>
  </rv>
  <rv s="3">
    <fb>46021</fb>
    <v>5</v>
  </rv>
  <rv s="3">
    <fb>17.88</fb>
    <v>6</v>
  </rv>
  <rv s="3">
    <fb>46022</fb>
    <v>5</v>
  </rv>
  <rv s="3">
    <fb>18.09</fb>
    <v>6</v>
  </rv>
  <rv s="3">
    <fb>46024</fb>
    <v>5</v>
  </rv>
  <rv s="3">
    <fb>17.77</fb>
    <v>6</v>
  </rv>
  <rv s="3">
    <fb>46027</fb>
    <v>5</v>
  </rv>
  <rv s="3">
    <fb>16.86</fb>
    <v>6</v>
  </rv>
  <rv s="3">
    <fb>46028</fb>
    <v>5</v>
  </rv>
  <rv s="3">
    <fb>46029</fb>
    <v>5</v>
  </rv>
  <rv s="3">
    <fb>14.94</fb>
    <v>6</v>
  </rv>
  <rv s="3">
    <fb>46030</fb>
    <v>5</v>
  </rv>
  <rv s="3">
    <fb>17.440000000000001</fb>
    <v>6</v>
  </rv>
  <rv s="3">
    <fb>46031</fb>
    <v>5</v>
  </rv>
  <rv s="3">
    <fb>13.67</fb>
    <v>6</v>
  </rv>
  <rv s="3">
    <fb>46034</fb>
    <v>5</v>
  </rv>
  <rv s="3">
    <fb>5.88</fb>
    <v>6</v>
  </rv>
  <rv s="3">
    <fb>46035</fb>
    <v>5</v>
  </rv>
  <rv s="3">
    <fb>4.37</fb>
    <v>6</v>
  </rv>
  <rv s="3">
    <fb>46036</fb>
    <v>5</v>
  </rv>
  <rv s="3">
    <fb>4.47</fb>
    <v>6</v>
  </rv>
  <rv s="3">
    <fb>46037</fb>
    <v>5</v>
  </rv>
  <rv s="3">
    <fb>4.62</fb>
    <v>6</v>
  </rv>
  <rv s="3">
    <fb>46038</fb>
    <v>5</v>
  </rv>
  <rv s="3">
    <fb>4.54</fb>
    <v>6</v>
  </rv>
  <rv s="3">
    <fb>46042</fb>
    <v>5</v>
  </rv>
  <rv s="3">
    <fb>4.32</fb>
    <v>6</v>
  </rv>
  <rv s="3">
    <fb>46043</fb>
    <v>5</v>
  </rv>
  <rv s="3">
    <fb>4.5999999999999996</fb>
    <v>6</v>
  </rv>
  <rv s="3">
    <fb>46044</fb>
    <v>5</v>
  </rv>
  <rv s="3">
    <fb>5</fb>
    <v>6</v>
  </rv>
  <rv s="3">
    <fb>46045</fb>
    <v>5</v>
  </rv>
  <rv s="3">
    <fb>5.22</fb>
    <v>6</v>
  </rv>
  <rv s="3">
    <fb>46048</fb>
    <v>5</v>
  </rv>
  <rv s="3">
    <fb>5.29</fb>
    <v>6</v>
  </rv>
  <rv s="3">
    <fb>46049</fb>
    <v>5</v>
  </rv>
  <rv s="3">
    <fb>5.56</fb>
    <v>6</v>
  </rv>
  <rv s="4">
    <v>7</v>
    <v>a1nwrw</v>
    <v>Daily</v>
    <v>45685</v>
    <v>46050</v>
    <v>0</v>
    <v>1</v>
    <v>639050688000000000,639051886766509009,0</v>
    <v>0</v>
    <v>a1nwrw</v>
    <v>XNAS:ATRA</v>
    <v>1</v>
  </rv>
</rvData>
</file>

<file path=xl/richData/rdrichvaluestructure.xml><?xml version="1.0" encoding="utf-8"?>
<rvStructures xmlns="http://schemas.microsoft.com/office/spreadsheetml/2017/richdata" count="5">
  <s t="_hyperlink">
    <k n="Address" t="s"/>
    <k n="Text" t="s"/>
  </s>
  <s t="_linkedentitycore">
    <k n="_Display" t="spb"/>
    <k n="_DisplayString" t="s"/>
    <k n="_Flags" t="spb"/>
    <k n="_Format" t="spb"/>
    <k n="_Icon" t="s"/>
    <k n="_SubLabel" t="spb"/>
    <k n="%EntityCulture" t="s"/>
    <k n="%EntityId" t="s"/>
    <k n="%EntityServiceId"/>
    <k n="%IsRefreshable" t="b"/>
    <k n="%ProviderInfo" t="s"/>
    <k n="52 week high"/>
    <k n="52 week low"/>
    <k n="Beta"/>
    <k n="Change"/>
    <k n="Change (%)"/>
    <k n="Change (Extended hours)"/>
    <k n="Change % (Extended hours)"/>
    <k n="Currency" t="s"/>
    <k n="Description" t="s"/>
    <k n="Employees"/>
    <k n="Exchange" t="s"/>
    <k n="Exchange abbreviation" t="s"/>
    <k n="ExchangeID" t="s"/>
    <k n="Headquarters" t="s"/>
    <k n="High"/>
    <k n="Industry" t="s"/>
    <k n="Instrument type" t="s"/>
    <k n="Last trade time"/>
    <k n="LearnMoreOnLink" t="r"/>
    <k n="Low"/>
    <k n="Market cap"/>
    <k n="Name" t="s"/>
    <k n="Official name" t="s"/>
    <k n="Open"/>
    <k n="P/E"/>
    <k n="Previous close"/>
    <k n="Price"/>
    <k n="Price (Extended hours)"/>
    <k n="Shares outstanding"/>
    <k n="Ticker symbol" t="s"/>
    <k n="UniqueName" t="s"/>
    <k n="Volume"/>
    <k n="Volume average"/>
    <k n="Year incorporated"/>
  </s>
  <s t="_linkedentity">
    <k n="%cvi" t="r"/>
  </s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Arrays count="1">
    <a count="45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Price (Extended hours)</v>
      <v t="s">Exchange</v>
      <v t="s">Official name</v>
      <v t="s">Last trade time</v>
      <v t="s">Ticker symbol</v>
      <v t="s">Exchange abbreviation</v>
      <v t="s">Change</v>
      <v t="s">Change (Extended hours)</v>
      <v t="s">Change (%)</v>
      <v t="s">Change % (Extended hours)</v>
      <v t="s">Currency</v>
      <v t="s">Previous close</v>
      <v t="s">Open</v>
      <v t="s">High</v>
      <v t="s">Low</v>
      <v t="s">52 week high</v>
      <v t="s">52 week low</v>
      <v t="s">Volume</v>
      <v t="s">Volume average</v>
      <v t="s">Market cap</v>
      <v t="s">Beta</v>
      <v t="s">P/E</v>
      <v t="s">Shares outstanding</v>
      <v t="s">Description</v>
      <v t="s">Employees</v>
      <v t="s">Headquarters</v>
      <v t="s">Industry</v>
      <v t="s">Instrument type</v>
      <v t="s">Year incorporated</v>
      <v t="s">_Flags</v>
      <v t="s">UniqueName</v>
      <v t="s">_DisplayString</v>
      <v t="s">LearnMoreOnLink</v>
      <v t="s">ExchangeID</v>
      <v t="s">%ProviderInfo</v>
    </a>
  </spbArrays>
  <spbData count="8">
    <spb s="0">
      <v>0</v>
      <v>Name</v>
      <v>LearnMoreOnLink</v>
    </spb>
    <spb s="1">
      <v>0</v>
      <v>0</v>
      <v>0</v>
    </spb>
    <spb s="2">
      <v>1</v>
      <v>1</v>
      <v>1</v>
      <v>1</v>
    </spb>
    <spb s="3">
      <v>1</v>
      <v>2</v>
      <v>2</v>
      <v>1</v>
      <v>3</v>
      <v>1</v>
      <v>1</v>
      <v>1</v>
      <v>4</v>
      <v>4</v>
      <v>5</v>
      <v>6</v>
      <v>1</v>
      <v>1</v>
      <v>1</v>
      <v>4</v>
      <v>7</v>
      <v>8</v>
      <v>9</v>
      <v>4</v>
      <v>1</v>
      <v>1</v>
      <v>5</v>
    </spb>
    <spb s="4">
      <v>at close</v>
      <v>from previous close</v>
      <v>from previous close</v>
      <v>Source: Nasdaq</v>
      <v>GMT</v>
      <v>Delayed 15 minutes</v>
      <v>from close</v>
      <v>from close</v>
    </spb>
    <spb s="5">
      <v>10</v>
    </spb>
    <spb s="5">
      <v>1</v>
    </spb>
    <spb s="6">
      <v>10</v>
      <v>1</v>
    </spb>
  </spbData>
</supportingPropertyBags>
</file>

<file path=xl/richData/rdsupportingpropertybagstructure.xml><?xml version="1.0" encoding="utf-8"?>
<spbStructures xmlns="http://schemas.microsoft.com/office/spreadsheetml/2017/richdata2" count="7">
  <s>
    <k n="^Order" t="spba"/>
    <k n="TitleProperty" t="s"/>
    <k n="SubTitleProperty" t="s"/>
  </s>
  <s>
    <k n="ShowInCardView" t="b"/>
    <k n="ShowInDotNotation" t="b"/>
    <k n="ShowInAutoComplete" t="b"/>
  </s>
  <s>
    <k n="ExchangeID" t="spb"/>
    <k n="UniqueName" t="spb"/>
    <k n="`%ProviderInfo" t="spb"/>
    <k n="LearnMoreOnLink" t="spb"/>
  </s>
  <s>
    <k n="Low" t="i"/>
    <k n="P/E" t="i"/>
    <k n="Beta" t="i"/>
    <k n="High" t="i"/>
    <k n="Name" t="i"/>
    <k n="Open" t="i"/>
    <k n="Price" t="i"/>
    <k n="Change" t="i"/>
    <k n="Volume" t="i"/>
    <k n="Employees" t="i"/>
    <k n="Change (%)" t="i"/>
    <k n="Market cap" t="i"/>
    <k n="52 week low" t="i"/>
    <k n="52 week high" t="i"/>
    <k n="Previous close" t="i"/>
    <k n="Volume average" t="i"/>
    <k n="Last trade time" t="i"/>
    <k n="Year incorporated" t="i"/>
    <k n="`%EntityServiceId" t="i"/>
    <k n="Shares outstanding" t="i"/>
    <k n="Price (Extended hours)" t="i"/>
    <k n="Change (Extended hours)" t="i"/>
    <k n="Change % (Extended hours)" t="i"/>
  </s>
  <s>
    <k n="Price" t="s"/>
    <k n="Change" t="s"/>
    <k n="Change (%)" t="s"/>
    <k n="ExchangeID" t="s"/>
    <k n="Last trade time" t="s"/>
    <k n="Price (Extended hours)" t="s"/>
    <k n="Change (Extended hours)" t="s"/>
    <k n="Change % (Extended hours)" t="s"/>
  </s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8">
    <x:dxf>
      <x:numFmt numFmtId="2" formatCode="0.00"/>
    </x:dxf>
    <x:dxf>
      <x:numFmt numFmtId="0" formatCode="General"/>
    </x:dxf>
    <x:dxf>
      <x:numFmt numFmtId="27" formatCode="m/d/yy\ h:mm"/>
    </x:dxf>
    <x:dxf>
      <x:numFmt numFmtId="14" formatCode="0.00%"/>
    </x:dxf>
    <x:dxf>
      <x:numFmt numFmtId="3" formatCode="#,##0"/>
    </x:dxf>
    <x:dxf>
      <x:numFmt numFmtId="4" formatCode="#,##0.00"/>
    </x:dxf>
    <x:dxf>
      <x:numFmt numFmtId="1" formatCode="0"/>
    </x:dxf>
    <x:dxf>
      <x:numFmt numFmtId="19" formatCode="m/d/yy"/>
    </x:dxf>
  </dxfs>
  <richProperties>
    <rPr n="NumberFormat" t="s"/>
    <rPr n="IsTitleField" t="b"/>
  </richProperties>
  <richStyles>
    <rSty dxfid="1">
      <rpv i="0">_([$$-en-US]* #,##0.00_);_([$$-en-US]* (#,##0.00);_([$$-en-US]* "-"??_);_(@_)</rpv>
    </rSty>
    <rSty dxfid="5">
      <rpv i="0">#,##0.00</rpv>
    </rSty>
    <rSty>
      <rpv i="1">1</rpv>
    </rSty>
    <rSty dxfid="4">
      <rpv i="0">#,##0</rpv>
    </rSty>
    <rSty dxfid="3"/>
    <rSty dxfid="1">
      <rpv i="0">_([$$-en-US]* #,##0_);_([$$-en-US]* (#,##0);_([$$-en-US]* "-"_);_(@_)</rpv>
    </rSty>
    <rSty dxfid="2"/>
    <rSty dxfid="6">
      <rpv i="0">0</rpv>
    </rSty>
    <rSty dxfid="0">
      <rpv i="0">0.00</rpv>
    </rSty>
    <rSty dxfid="7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A6201-0231-5846-9F1B-D720A83B8F30}">
  <dimension ref="A1:G273"/>
  <sheetViews>
    <sheetView tabSelected="1" workbookViewId="0">
      <selection activeCell="E14" sqref="E14"/>
    </sheetView>
  </sheetViews>
  <sheetFormatPr baseColWidth="10" defaultRowHeight="16" x14ac:dyDescent="0.2"/>
  <cols>
    <col min="2" max="2" width="39.5" customWidth="1"/>
    <col min="3" max="3" width="12.83203125" customWidth="1"/>
    <col min="4" max="4" width="29.83203125" customWidth="1"/>
    <col min="5" max="5" width="31.1640625" customWidth="1"/>
    <col min="6" max="6" width="29" customWidth="1"/>
    <col min="7" max="7" width="25.5" customWidth="1"/>
  </cols>
  <sheetData>
    <row r="1" spans="1:7" x14ac:dyDescent="0.2">
      <c r="A1" t="s">
        <v>8</v>
      </c>
      <c r="B1" t="s">
        <v>10</v>
      </c>
      <c r="C1" t="s">
        <v>6</v>
      </c>
      <c r="D1" t="s">
        <v>5</v>
      </c>
      <c r="E1" t="s">
        <v>4</v>
      </c>
      <c r="F1" t="s">
        <v>2</v>
      </c>
      <c r="G1" t="s">
        <v>3</v>
      </c>
    </row>
    <row r="2" spans="1:7" x14ac:dyDescent="0.2">
      <c r="A2" t="s">
        <v>9</v>
      </c>
      <c r="B2" t="e" vm="1">
        <v>#VALUE!</v>
      </c>
      <c r="D2" t="s">
        <v>7</v>
      </c>
      <c r="E2" s="3">
        <f ca="1">(C244-C129)/(C129)</f>
        <v>0.50604490500863564</v>
      </c>
      <c r="F2" s="3">
        <f ca="1">(C245-C129)/(C129)</f>
        <v>0.18048359240069084</v>
      </c>
      <c r="G2" s="4">
        <f ca="1">(C247-C129)/(C129)</f>
        <v>-0.62262521588946462</v>
      </c>
    </row>
    <row r="3" spans="1:7" x14ac:dyDescent="0.2">
      <c r="A3" t="s">
        <v>9</v>
      </c>
      <c r="B3" s="1">
        <f ca="1">TODAY()</f>
        <v>46050</v>
      </c>
    </row>
    <row r="4" spans="1:7" x14ac:dyDescent="0.2">
      <c r="A4" t="s">
        <v>9</v>
      </c>
      <c r="B4" s="1">
        <f ca="1">B3-365</f>
        <v>45685</v>
      </c>
    </row>
    <row r="5" spans="1:7" x14ac:dyDescent="0.2">
      <c r="A5" t="s">
        <v>9</v>
      </c>
      <c r="B5" t="str" cm="1">
        <f t="array" aca="1" ref="B5:C256" ca="1">_xlfn.STOCKHISTORY(B2,B4,B3)</f>
        <v>Date</v>
      </c>
      <c r="C5" t="str">
        <f ca="1"/>
        <v>Close</v>
      </c>
    </row>
    <row r="6" spans="1:7" x14ac:dyDescent="0.2">
      <c r="A6" t="s">
        <v>9</v>
      </c>
      <c r="B6" vm="2">
        <f ca="1"/>
        <v>45685</v>
      </c>
      <c r="C6" vm="3">
        <f ca="1"/>
        <v>8.36</v>
      </c>
    </row>
    <row r="7" spans="1:7" x14ac:dyDescent="0.2">
      <c r="A7" t="s">
        <v>9</v>
      </c>
      <c r="B7" vm="4">
        <f ca="1"/>
        <v>45686</v>
      </c>
      <c r="C7" vm="5">
        <f ca="1"/>
        <v>8.09</v>
      </c>
    </row>
    <row r="8" spans="1:7" x14ac:dyDescent="0.2">
      <c r="A8" t="s">
        <v>9</v>
      </c>
      <c r="B8" vm="6">
        <f ca="1"/>
        <v>45687</v>
      </c>
      <c r="C8" vm="7">
        <f ca="1"/>
        <v>8.49</v>
      </c>
    </row>
    <row r="9" spans="1:7" x14ac:dyDescent="0.2">
      <c r="A9" t="s">
        <v>9</v>
      </c>
      <c r="B9" vm="8">
        <f ca="1"/>
        <v>45688</v>
      </c>
      <c r="C9" vm="9">
        <f ca="1"/>
        <v>8.8800000000000008</v>
      </c>
    </row>
    <row r="10" spans="1:7" x14ac:dyDescent="0.2">
      <c r="A10" t="s">
        <v>9</v>
      </c>
      <c r="B10" vm="10">
        <f ca="1"/>
        <v>45691</v>
      </c>
      <c r="C10" vm="11">
        <f ca="1"/>
        <v>8.52</v>
      </c>
    </row>
    <row r="11" spans="1:7" x14ac:dyDescent="0.2">
      <c r="A11" t="s">
        <v>9</v>
      </c>
      <c r="B11" vm="12">
        <f ca="1"/>
        <v>45692</v>
      </c>
      <c r="C11" vm="13">
        <f ca="1"/>
        <v>9.3000000000000007</v>
      </c>
    </row>
    <row r="12" spans="1:7" x14ac:dyDescent="0.2">
      <c r="A12" t="s">
        <v>9</v>
      </c>
      <c r="B12" vm="14">
        <f ca="1"/>
        <v>45693</v>
      </c>
      <c r="C12" vm="15">
        <f ca="1"/>
        <v>9.34</v>
      </c>
    </row>
    <row r="13" spans="1:7" x14ac:dyDescent="0.2">
      <c r="A13" t="s">
        <v>9</v>
      </c>
      <c r="B13" vm="16">
        <f ca="1"/>
        <v>45694</v>
      </c>
      <c r="C13" vm="17">
        <f ca="1"/>
        <v>10.51</v>
      </c>
    </row>
    <row r="14" spans="1:7" x14ac:dyDescent="0.2">
      <c r="A14" t="s">
        <v>9</v>
      </c>
      <c r="B14" vm="18">
        <f ca="1"/>
        <v>45695</v>
      </c>
      <c r="C14" vm="19">
        <f ca="1"/>
        <v>10.06</v>
      </c>
    </row>
    <row r="15" spans="1:7" x14ac:dyDescent="0.2">
      <c r="A15" t="s">
        <v>9</v>
      </c>
      <c r="B15" vm="20">
        <f ca="1"/>
        <v>45698</v>
      </c>
      <c r="C15" vm="21">
        <f ca="1"/>
        <v>9.26</v>
      </c>
    </row>
    <row r="16" spans="1:7" x14ac:dyDescent="0.2">
      <c r="A16" t="s">
        <v>9</v>
      </c>
      <c r="B16" vm="22">
        <f ca="1"/>
        <v>45699</v>
      </c>
      <c r="C16" vm="23">
        <f ca="1"/>
        <v>8.42</v>
      </c>
    </row>
    <row r="17" spans="1:4" x14ac:dyDescent="0.2">
      <c r="A17" t="s">
        <v>9</v>
      </c>
      <c r="B17" vm="24">
        <f ca="1"/>
        <v>45700</v>
      </c>
      <c r="C17" vm="25">
        <f ca="1"/>
        <v>8.6</v>
      </c>
      <c r="D17" t="s">
        <v>0</v>
      </c>
    </row>
    <row r="18" spans="1:4" x14ac:dyDescent="0.2">
      <c r="A18" t="s">
        <v>9</v>
      </c>
      <c r="B18" vm="26">
        <f ca="1"/>
        <v>45701</v>
      </c>
      <c r="C18" vm="27">
        <f ca="1"/>
        <v>8.7200000000000006</v>
      </c>
    </row>
    <row r="19" spans="1:4" x14ac:dyDescent="0.2">
      <c r="A19" t="s">
        <v>9</v>
      </c>
      <c r="B19" vm="28">
        <f ca="1"/>
        <v>45702</v>
      </c>
      <c r="C19" vm="29">
        <f ca="1"/>
        <v>8.59</v>
      </c>
    </row>
    <row r="20" spans="1:4" x14ac:dyDescent="0.2">
      <c r="A20" t="s">
        <v>9</v>
      </c>
      <c r="B20" vm="30">
        <f ca="1"/>
        <v>45706</v>
      </c>
      <c r="C20" vm="31">
        <f ca="1"/>
        <v>8.08</v>
      </c>
    </row>
    <row r="21" spans="1:4" x14ac:dyDescent="0.2">
      <c r="A21" t="s">
        <v>9</v>
      </c>
      <c r="B21" vm="32">
        <f ca="1"/>
        <v>45707</v>
      </c>
      <c r="C21" vm="33">
        <f ca="1"/>
        <v>7.77</v>
      </c>
    </row>
    <row r="22" spans="1:4" x14ac:dyDescent="0.2">
      <c r="A22" t="s">
        <v>9</v>
      </c>
      <c r="B22" vm="34">
        <f ca="1"/>
        <v>45708</v>
      </c>
      <c r="C22" vm="35">
        <f ca="1"/>
        <v>7.52</v>
      </c>
    </row>
    <row r="23" spans="1:4" x14ac:dyDescent="0.2">
      <c r="A23" t="s">
        <v>9</v>
      </c>
      <c r="B23" vm="36">
        <f ca="1"/>
        <v>45709</v>
      </c>
      <c r="C23" vm="37">
        <f ca="1"/>
        <v>7.11</v>
      </c>
    </row>
    <row r="24" spans="1:4" x14ac:dyDescent="0.2">
      <c r="A24" t="s">
        <v>9</v>
      </c>
      <c r="B24" vm="38">
        <f ca="1"/>
        <v>45712</v>
      </c>
      <c r="C24" vm="39">
        <f ca="1"/>
        <v>7.25</v>
      </c>
    </row>
    <row r="25" spans="1:4" x14ac:dyDescent="0.2">
      <c r="A25" t="s">
        <v>9</v>
      </c>
      <c r="B25" vm="40">
        <f ca="1"/>
        <v>45713</v>
      </c>
      <c r="C25" vm="41">
        <f ca="1"/>
        <v>7.34</v>
      </c>
    </row>
    <row r="26" spans="1:4" x14ac:dyDescent="0.2">
      <c r="A26" t="s">
        <v>9</v>
      </c>
      <c r="B26" vm="42">
        <f ca="1"/>
        <v>45714</v>
      </c>
      <c r="C26" vm="43">
        <f ca="1"/>
        <v>7.39</v>
      </c>
    </row>
    <row r="27" spans="1:4" x14ac:dyDescent="0.2">
      <c r="A27" t="s">
        <v>9</v>
      </c>
      <c r="B27" vm="44">
        <f ca="1"/>
        <v>45715</v>
      </c>
      <c r="C27" vm="45">
        <f ca="1"/>
        <v>6.89</v>
      </c>
    </row>
    <row r="28" spans="1:4" x14ac:dyDescent="0.2">
      <c r="A28" t="s">
        <v>9</v>
      </c>
      <c r="B28" vm="46">
        <f ca="1"/>
        <v>45716</v>
      </c>
      <c r="C28" vm="47">
        <f ca="1"/>
        <v>6.91</v>
      </c>
    </row>
    <row r="29" spans="1:4" x14ac:dyDescent="0.2">
      <c r="A29" t="s">
        <v>9</v>
      </c>
      <c r="B29" vm="48">
        <f ca="1"/>
        <v>45719</v>
      </c>
      <c r="C29" vm="49">
        <f ca="1"/>
        <v>7</v>
      </c>
    </row>
    <row r="30" spans="1:4" x14ac:dyDescent="0.2">
      <c r="A30" t="s">
        <v>9</v>
      </c>
      <c r="B30" vm="50">
        <f ca="1"/>
        <v>45720</v>
      </c>
      <c r="C30" vm="51">
        <f ca="1"/>
        <v>7.13</v>
      </c>
    </row>
    <row r="31" spans="1:4" x14ac:dyDescent="0.2">
      <c r="A31" t="s">
        <v>9</v>
      </c>
      <c r="B31" vm="52">
        <f ca="1"/>
        <v>45721</v>
      </c>
      <c r="C31" vm="53">
        <f ca="1"/>
        <v>7.31</v>
      </c>
    </row>
    <row r="32" spans="1:4" x14ac:dyDescent="0.2">
      <c r="A32" t="s">
        <v>9</v>
      </c>
      <c r="B32" vm="54">
        <f ca="1"/>
        <v>45722</v>
      </c>
      <c r="C32" vm="55">
        <f ca="1"/>
        <v>6.8</v>
      </c>
    </row>
    <row r="33" spans="1:3" x14ac:dyDescent="0.2">
      <c r="A33" t="s">
        <v>9</v>
      </c>
      <c r="B33" vm="56">
        <f ca="1"/>
        <v>45723</v>
      </c>
      <c r="C33" vm="57">
        <f ca="1"/>
        <v>6.9</v>
      </c>
    </row>
    <row r="34" spans="1:3" x14ac:dyDescent="0.2">
      <c r="A34" t="s">
        <v>9</v>
      </c>
      <c r="B34" vm="58">
        <f ca="1"/>
        <v>45726</v>
      </c>
      <c r="C34" vm="59">
        <f ca="1"/>
        <v>6.16</v>
      </c>
    </row>
    <row r="35" spans="1:3" x14ac:dyDescent="0.2">
      <c r="A35" t="s">
        <v>9</v>
      </c>
      <c r="B35" vm="60">
        <f ca="1"/>
        <v>45727</v>
      </c>
      <c r="C35" vm="61">
        <f ca="1"/>
        <v>6.61</v>
      </c>
    </row>
    <row r="36" spans="1:3" x14ac:dyDescent="0.2">
      <c r="A36" t="s">
        <v>9</v>
      </c>
      <c r="B36" vm="62">
        <f ca="1"/>
        <v>45728</v>
      </c>
      <c r="C36" vm="45">
        <f ca="1"/>
        <v>6.89</v>
      </c>
    </row>
    <row r="37" spans="1:3" x14ac:dyDescent="0.2">
      <c r="A37" t="s">
        <v>9</v>
      </c>
      <c r="B37" vm="63">
        <f ca="1"/>
        <v>45729</v>
      </c>
      <c r="C37" vm="64">
        <f ca="1"/>
        <v>6.86</v>
      </c>
    </row>
    <row r="38" spans="1:3" x14ac:dyDescent="0.2">
      <c r="A38" t="s">
        <v>9</v>
      </c>
      <c r="B38" vm="65">
        <f ca="1"/>
        <v>45730</v>
      </c>
      <c r="C38" vm="39">
        <f ca="1"/>
        <v>7.25</v>
      </c>
    </row>
    <row r="39" spans="1:3" x14ac:dyDescent="0.2">
      <c r="A39" t="s">
        <v>9</v>
      </c>
      <c r="B39" vm="66">
        <f ca="1"/>
        <v>45733</v>
      </c>
      <c r="C39" vm="67">
        <f ca="1"/>
        <v>7.17</v>
      </c>
    </row>
    <row r="40" spans="1:3" x14ac:dyDescent="0.2">
      <c r="A40" t="s">
        <v>9</v>
      </c>
      <c r="B40" vm="68">
        <f ca="1"/>
        <v>45734</v>
      </c>
      <c r="C40" vm="69">
        <f ca="1"/>
        <v>7.02</v>
      </c>
    </row>
    <row r="41" spans="1:3" x14ac:dyDescent="0.2">
      <c r="A41" t="s">
        <v>9</v>
      </c>
      <c r="B41" vm="70">
        <f ca="1"/>
        <v>45735</v>
      </c>
      <c r="C41" vm="37">
        <f ca="1"/>
        <v>7.11</v>
      </c>
    </row>
    <row r="42" spans="1:3" x14ac:dyDescent="0.2">
      <c r="A42" t="s">
        <v>9</v>
      </c>
      <c r="B42" vm="71">
        <f ca="1"/>
        <v>45736</v>
      </c>
      <c r="C42" vm="72">
        <f ca="1"/>
        <v>6.74</v>
      </c>
    </row>
    <row r="43" spans="1:3" x14ac:dyDescent="0.2">
      <c r="A43" t="s">
        <v>9</v>
      </c>
      <c r="B43" vm="73">
        <f ca="1"/>
        <v>45737</v>
      </c>
      <c r="C43" vm="74">
        <f ca="1"/>
        <v>6.63</v>
      </c>
    </row>
    <row r="44" spans="1:3" x14ac:dyDescent="0.2">
      <c r="A44" t="s">
        <v>9</v>
      </c>
      <c r="B44" vm="75">
        <f ca="1"/>
        <v>45740</v>
      </c>
      <c r="C44" vm="76">
        <f ca="1"/>
        <v>6.94</v>
      </c>
    </row>
    <row r="45" spans="1:3" x14ac:dyDescent="0.2">
      <c r="A45" t="s">
        <v>9</v>
      </c>
      <c r="B45" vm="77">
        <f ca="1"/>
        <v>45741</v>
      </c>
      <c r="C45" vm="78">
        <f ca="1"/>
        <v>6.92</v>
      </c>
    </row>
    <row r="46" spans="1:3" x14ac:dyDescent="0.2">
      <c r="A46" t="s">
        <v>9</v>
      </c>
      <c r="B46" vm="79">
        <f ca="1"/>
        <v>45742</v>
      </c>
      <c r="C46" vm="80">
        <f ca="1"/>
        <v>6.62</v>
      </c>
    </row>
    <row r="47" spans="1:3" x14ac:dyDescent="0.2">
      <c r="A47" t="s">
        <v>9</v>
      </c>
      <c r="B47" vm="81">
        <f ca="1"/>
        <v>45743</v>
      </c>
      <c r="C47" vm="82">
        <f ca="1"/>
        <v>6.88</v>
      </c>
    </row>
    <row r="48" spans="1:3" x14ac:dyDescent="0.2">
      <c r="A48" t="s">
        <v>9</v>
      </c>
      <c r="B48" vm="83">
        <f ca="1"/>
        <v>45744</v>
      </c>
      <c r="C48" vm="84">
        <f ca="1"/>
        <v>6.53</v>
      </c>
    </row>
    <row r="49" spans="1:3" x14ac:dyDescent="0.2">
      <c r="A49" t="s">
        <v>9</v>
      </c>
      <c r="B49" vm="85">
        <f ca="1"/>
        <v>45747</v>
      </c>
      <c r="C49" vm="86">
        <f ca="1"/>
        <v>5.94</v>
      </c>
    </row>
    <row r="50" spans="1:3" x14ac:dyDescent="0.2">
      <c r="A50" t="s">
        <v>9</v>
      </c>
      <c r="B50" vm="87">
        <f ca="1"/>
        <v>45748</v>
      </c>
      <c r="C50" vm="88">
        <f ca="1"/>
        <v>6.01</v>
      </c>
    </row>
    <row r="51" spans="1:3" x14ac:dyDescent="0.2">
      <c r="A51" t="s">
        <v>9</v>
      </c>
      <c r="B51" vm="89">
        <f ca="1"/>
        <v>45749</v>
      </c>
      <c r="C51" vm="90">
        <f ca="1"/>
        <v>6.13</v>
      </c>
    </row>
    <row r="52" spans="1:3" x14ac:dyDescent="0.2">
      <c r="A52" t="s">
        <v>9</v>
      </c>
      <c r="B52" vm="91">
        <f ca="1"/>
        <v>45750</v>
      </c>
      <c r="C52" vm="92">
        <f ca="1"/>
        <v>5.92</v>
      </c>
    </row>
    <row r="53" spans="1:3" x14ac:dyDescent="0.2">
      <c r="A53" t="s">
        <v>9</v>
      </c>
      <c r="B53" vm="93">
        <f ca="1"/>
        <v>45751</v>
      </c>
      <c r="C53" vm="94">
        <f ca="1"/>
        <v>5.59</v>
      </c>
    </row>
    <row r="54" spans="1:3" x14ac:dyDescent="0.2">
      <c r="A54" t="s">
        <v>9</v>
      </c>
      <c r="B54" vm="95">
        <f ca="1"/>
        <v>45754</v>
      </c>
      <c r="C54" vm="96">
        <f ca="1"/>
        <v>5.73</v>
      </c>
    </row>
    <row r="55" spans="1:3" x14ac:dyDescent="0.2">
      <c r="A55" t="s">
        <v>9</v>
      </c>
      <c r="B55" vm="97">
        <f ca="1"/>
        <v>45755</v>
      </c>
      <c r="C55" vm="94">
        <f ca="1"/>
        <v>5.59</v>
      </c>
    </row>
    <row r="56" spans="1:3" x14ac:dyDescent="0.2">
      <c r="A56" t="s">
        <v>9</v>
      </c>
      <c r="B56" vm="98">
        <f ca="1"/>
        <v>45756</v>
      </c>
      <c r="C56" vm="99">
        <f ca="1"/>
        <v>5.89</v>
      </c>
    </row>
    <row r="57" spans="1:3" x14ac:dyDescent="0.2">
      <c r="A57" t="s">
        <v>9</v>
      </c>
      <c r="B57" vm="100">
        <f ca="1"/>
        <v>45757</v>
      </c>
      <c r="C57" vm="101">
        <f ca="1"/>
        <v>5.3</v>
      </c>
    </row>
    <row r="58" spans="1:3" x14ac:dyDescent="0.2">
      <c r="A58" t="s">
        <v>9</v>
      </c>
      <c r="B58" vm="102">
        <f ca="1"/>
        <v>45758</v>
      </c>
      <c r="C58" vm="103">
        <f ca="1"/>
        <v>5.53</v>
      </c>
    </row>
    <row r="59" spans="1:3" x14ac:dyDescent="0.2">
      <c r="A59" t="s">
        <v>9</v>
      </c>
      <c r="B59" vm="104">
        <f ca="1"/>
        <v>45761</v>
      </c>
      <c r="C59" vm="105">
        <f ca="1"/>
        <v>5.85</v>
      </c>
    </row>
    <row r="60" spans="1:3" x14ac:dyDescent="0.2">
      <c r="A60" t="s">
        <v>9</v>
      </c>
      <c r="B60" vm="106">
        <f ca="1"/>
        <v>45762</v>
      </c>
      <c r="C60" vm="107">
        <f ca="1"/>
        <v>5.98</v>
      </c>
    </row>
    <row r="61" spans="1:3" x14ac:dyDescent="0.2">
      <c r="A61" t="s">
        <v>9</v>
      </c>
      <c r="B61" vm="108">
        <f ca="1"/>
        <v>45763</v>
      </c>
      <c r="C61" vm="109">
        <f ca="1"/>
        <v>5.84</v>
      </c>
    </row>
    <row r="62" spans="1:3" x14ac:dyDescent="0.2">
      <c r="A62" t="s">
        <v>9</v>
      </c>
      <c r="B62" vm="110">
        <f ca="1"/>
        <v>45764</v>
      </c>
      <c r="C62" vm="111">
        <f ca="1"/>
        <v>6.17</v>
      </c>
    </row>
    <row r="63" spans="1:3" x14ac:dyDescent="0.2">
      <c r="A63" t="s">
        <v>9</v>
      </c>
      <c r="B63" vm="112">
        <f ca="1"/>
        <v>45768</v>
      </c>
      <c r="C63" vm="113">
        <f ca="1"/>
        <v>6.14</v>
      </c>
    </row>
    <row r="64" spans="1:3" x14ac:dyDescent="0.2">
      <c r="A64" t="s">
        <v>9</v>
      </c>
      <c r="B64" vm="114">
        <f ca="1"/>
        <v>45769</v>
      </c>
      <c r="C64" vm="72">
        <f ca="1"/>
        <v>6.74</v>
      </c>
    </row>
    <row r="65" spans="1:3" x14ac:dyDescent="0.2">
      <c r="A65" t="s">
        <v>9</v>
      </c>
      <c r="B65" vm="115">
        <f ca="1"/>
        <v>45770</v>
      </c>
      <c r="C65" vm="57">
        <f ca="1"/>
        <v>6.9</v>
      </c>
    </row>
    <row r="66" spans="1:3" x14ac:dyDescent="0.2">
      <c r="A66" t="s">
        <v>9</v>
      </c>
      <c r="B66" vm="116">
        <f ca="1"/>
        <v>45771</v>
      </c>
      <c r="C66" vm="117">
        <f ca="1"/>
        <v>7.6</v>
      </c>
    </row>
    <row r="67" spans="1:3" x14ac:dyDescent="0.2">
      <c r="A67" t="s">
        <v>9</v>
      </c>
      <c r="B67" vm="118">
        <f ca="1"/>
        <v>45772</v>
      </c>
      <c r="C67" vm="119">
        <f ca="1"/>
        <v>7.32</v>
      </c>
    </row>
    <row r="68" spans="1:3" x14ac:dyDescent="0.2">
      <c r="A68" t="s">
        <v>9</v>
      </c>
      <c r="B68" vm="120">
        <f ca="1"/>
        <v>45775</v>
      </c>
      <c r="C68" vm="121">
        <f ca="1"/>
        <v>7.42</v>
      </c>
    </row>
    <row r="69" spans="1:3" x14ac:dyDescent="0.2">
      <c r="A69" t="s">
        <v>9</v>
      </c>
      <c r="B69" vm="122">
        <f ca="1"/>
        <v>45776</v>
      </c>
      <c r="C69" vm="123">
        <f ca="1"/>
        <v>7.51</v>
      </c>
    </row>
    <row r="70" spans="1:3" x14ac:dyDescent="0.2">
      <c r="A70" t="s">
        <v>9</v>
      </c>
      <c r="B70" vm="124">
        <f ca="1"/>
        <v>45777</v>
      </c>
      <c r="C70" vm="125">
        <f ca="1"/>
        <v>7.99</v>
      </c>
    </row>
    <row r="71" spans="1:3" x14ac:dyDescent="0.2">
      <c r="A71" t="s">
        <v>9</v>
      </c>
      <c r="B71" vm="126">
        <f ca="1"/>
        <v>45778</v>
      </c>
      <c r="C71" vm="127">
        <f ca="1"/>
        <v>7.56</v>
      </c>
    </row>
    <row r="72" spans="1:3" x14ac:dyDescent="0.2">
      <c r="A72" t="s">
        <v>9</v>
      </c>
      <c r="B72" vm="128">
        <f ca="1"/>
        <v>45779</v>
      </c>
      <c r="C72" vm="129">
        <f ca="1"/>
        <v>7.82</v>
      </c>
    </row>
    <row r="73" spans="1:3" x14ac:dyDescent="0.2">
      <c r="A73" t="s">
        <v>9</v>
      </c>
      <c r="B73" vm="130">
        <f ca="1"/>
        <v>45782</v>
      </c>
      <c r="C73" vm="39">
        <f ca="1"/>
        <v>7.25</v>
      </c>
    </row>
    <row r="74" spans="1:3" x14ac:dyDescent="0.2">
      <c r="A74" t="s">
        <v>9</v>
      </c>
      <c r="B74" vm="131">
        <f ca="1"/>
        <v>45783</v>
      </c>
      <c r="C74" vm="132">
        <f ca="1"/>
        <v>7.67</v>
      </c>
    </row>
    <row r="75" spans="1:3" x14ac:dyDescent="0.2">
      <c r="A75" t="s">
        <v>9</v>
      </c>
      <c r="B75" vm="133">
        <f ca="1"/>
        <v>45784</v>
      </c>
      <c r="C75" vm="134">
        <f ca="1"/>
        <v>7.26</v>
      </c>
    </row>
    <row r="76" spans="1:3" x14ac:dyDescent="0.2">
      <c r="A76" t="s">
        <v>9</v>
      </c>
      <c r="B76" vm="135">
        <f ca="1"/>
        <v>45785</v>
      </c>
      <c r="C76" vm="121">
        <f ca="1"/>
        <v>7.42</v>
      </c>
    </row>
    <row r="77" spans="1:3" x14ac:dyDescent="0.2">
      <c r="A77" t="s">
        <v>9</v>
      </c>
      <c r="B77" vm="136">
        <f ca="1"/>
        <v>45786</v>
      </c>
      <c r="C77" vm="137">
        <f ca="1"/>
        <v>7.27</v>
      </c>
    </row>
    <row r="78" spans="1:3" x14ac:dyDescent="0.2">
      <c r="A78" t="s">
        <v>9</v>
      </c>
      <c r="B78" vm="138">
        <f ca="1"/>
        <v>45789</v>
      </c>
      <c r="C78" vm="139">
        <f ca="1"/>
        <v>6.47</v>
      </c>
    </row>
    <row r="79" spans="1:3" x14ac:dyDescent="0.2">
      <c r="A79" t="s">
        <v>9</v>
      </c>
      <c r="B79" vm="140">
        <f ca="1"/>
        <v>45790</v>
      </c>
      <c r="C79" vm="141">
        <f ca="1"/>
        <v>6.68</v>
      </c>
    </row>
    <row r="80" spans="1:3" x14ac:dyDescent="0.2">
      <c r="A80" t="s">
        <v>9</v>
      </c>
      <c r="B80" vm="142">
        <f ca="1"/>
        <v>45791</v>
      </c>
      <c r="C80" vm="61">
        <f ca="1"/>
        <v>6.61</v>
      </c>
    </row>
    <row r="81" spans="1:3" x14ac:dyDescent="0.2">
      <c r="A81" t="s">
        <v>9</v>
      </c>
      <c r="B81" vm="143">
        <f ca="1"/>
        <v>45792</v>
      </c>
      <c r="C81" vm="144">
        <f ca="1"/>
        <v>7.61</v>
      </c>
    </row>
    <row r="82" spans="1:3" x14ac:dyDescent="0.2">
      <c r="A82" t="s">
        <v>9</v>
      </c>
      <c r="B82" vm="145">
        <f ca="1"/>
        <v>45793</v>
      </c>
      <c r="C82" vm="146">
        <f ca="1"/>
        <v>6.84</v>
      </c>
    </row>
    <row r="83" spans="1:3" x14ac:dyDescent="0.2">
      <c r="A83" t="s">
        <v>9</v>
      </c>
      <c r="B83" vm="147">
        <f ca="1"/>
        <v>45796</v>
      </c>
      <c r="C83" vm="148">
        <f ca="1"/>
        <v>6.73</v>
      </c>
    </row>
    <row r="84" spans="1:3" x14ac:dyDescent="0.2">
      <c r="A84" t="s">
        <v>9</v>
      </c>
      <c r="B84" vm="149">
        <f ca="1"/>
        <v>45797</v>
      </c>
      <c r="C84" vm="49">
        <f ca="1"/>
        <v>7</v>
      </c>
    </row>
    <row r="85" spans="1:3" x14ac:dyDescent="0.2">
      <c r="A85" t="s">
        <v>9</v>
      </c>
      <c r="B85" vm="150">
        <f ca="1"/>
        <v>45798</v>
      </c>
      <c r="C85" vm="57">
        <f ca="1"/>
        <v>6.9</v>
      </c>
    </row>
    <row r="86" spans="1:3" x14ac:dyDescent="0.2">
      <c r="A86" t="s">
        <v>9</v>
      </c>
      <c r="B86" vm="151">
        <f ca="1"/>
        <v>45799</v>
      </c>
      <c r="C86" vm="37">
        <f ca="1"/>
        <v>7.11</v>
      </c>
    </row>
    <row r="87" spans="1:3" x14ac:dyDescent="0.2">
      <c r="A87" t="s">
        <v>9</v>
      </c>
      <c r="B87" vm="152">
        <f ca="1"/>
        <v>45800</v>
      </c>
      <c r="C87" vm="153">
        <f ca="1"/>
        <v>7.14</v>
      </c>
    </row>
    <row r="88" spans="1:3" x14ac:dyDescent="0.2">
      <c r="A88" t="s">
        <v>9</v>
      </c>
      <c r="B88" vm="154">
        <f ca="1"/>
        <v>45804</v>
      </c>
      <c r="C88" vm="155">
        <f ca="1"/>
        <v>7.49</v>
      </c>
    </row>
    <row r="89" spans="1:3" x14ac:dyDescent="0.2">
      <c r="A89" t="s">
        <v>9</v>
      </c>
      <c r="B89" vm="156">
        <f ca="1"/>
        <v>45805</v>
      </c>
      <c r="C89" vm="157">
        <f ca="1"/>
        <v>7.7949999999999999</v>
      </c>
    </row>
    <row r="90" spans="1:3" x14ac:dyDescent="0.2">
      <c r="A90" t="s">
        <v>9</v>
      </c>
      <c r="B90" vm="158">
        <f ca="1"/>
        <v>45806</v>
      </c>
      <c r="C90" vm="159">
        <f ca="1"/>
        <v>7.8</v>
      </c>
    </row>
    <row r="91" spans="1:3" x14ac:dyDescent="0.2">
      <c r="A91" t="s">
        <v>9</v>
      </c>
      <c r="B91" vm="160">
        <f ca="1"/>
        <v>45807</v>
      </c>
      <c r="C91" vm="159">
        <f ca="1"/>
        <v>7.8</v>
      </c>
    </row>
    <row r="92" spans="1:3" x14ac:dyDescent="0.2">
      <c r="A92" t="s">
        <v>9</v>
      </c>
      <c r="B92" vm="161">
        <f ca="1"/>
        <v>45810</v>
      </c>
      <c r="C92" vm="162">
        <f ca="1"/>
        <v>8</v>
      </c>
    </row>
    <row r="93" spans="1:3" x14ac:dyDescent="0.2">
      <c r="A93" t="s">
        <v>9</v>
      </c>
      <c r="B93" vm="163">
        <f ca="1"/>
        <v>45811</v>
      </c>
      <c r="C93" vm="164">
        <f ca="1"/>
        <v>8.39</v>
      </c>
    </row>
    <row r="94" spans="1:3" x14ac:dyDescent="0.2">
      <c r="A94" t="s">
        <v>9</v>
      </c>
      <c r="B94" vm="165">
        <f ca="1"/>
        <v>45812</v>
      </c>
      <c r="C94" vm="166">
        <f ca="1"/>
        <v>8.33</v>
      </c>
    </row>
    <row r="95" spans="1:3" x14ac:dyDescent="0.2">
      <c r="A95" t="s">
        <v>9</v>
      </c>
      <c r="B95" vm="167">
        <f ca="1"/>
        <v>45813</v>
      </c>
      <c r="C95" vm="23">
        <f ca="1"/>
        <v>8.42</v>
      </c>
    </row>
    <row r="96" spans="1:3" x14ac:dyDescent="0.2">
      <c r="A96" t="s">
        <v>9</v>
      </c>
      <c r="B96" vm="168">
        <f ca="1"/>
        <v>45814</v>
      </c>
      <c r="C96" vm="169">
        <f ca="1"/>
        <v>9.23</v>
      </c>
    </row>
    <row r="97" spans="1:3" x14ac:dyDescent="0.2">
      <c r="A97" t="s">
        <v>9</v>
      </c>
      <c r="B97" vm="170">
        <f ca="1"/>
        <v>45817</v>
      </c>
      <c r="C97" vm="171">
        <f ca="1"/>
        <v>9.2550000000000008</v>
      </c>
    </row>
    <row r="98" spans="1:3" x14ac:dyDescent="0.2">
      <c r="A98" t="s">
        <v>9</v>
      </c>
      <c r="B98" vm="172">
        <f ca="1"/>
        <v>45818</v>
      </c>
      <c r="C98" vm="173">
        <f ca="1"/>
        <v>9.1199999999999992</v>
      </c>
    </row>
    <row r="99" spans="1:3" x14ac:dyDescent="0.2">
      <c r="A99" t="s">
        <v>9</v>
      </c>
      <c r="B99" vm="174">
        <f ca="1"/>
        <v>45819</v>
      </c>
      <c r="C99" vm="175">
        <f ca="1"/>
        <v>8.91</v>
      </c>
    </row>
    <row r="100" spans="1:3" x14ac:dyDescent="0.2">
      <c r="A100" t="s">
        <v>9</v>
      </c>
      <c r="B100" vm="176">
        <f ca="1"/>
        <v>45820</v>
      </c>
      <c r="C100" vm="177">
        <f ca="1"/>
        <v>8.7100000000000009</v>
      </c>
    </row>
    <row r="101" spans="1:3" x14ac:dyDescent="0.2">
      <c r="A101" t="s">
        <v>9</v>
      </c>
      <c r="B101" vm="178">
        <f ca="1"/>
        <v>45821</v>
      </c>
      <c r="C101" vm="179">
        <f ca="1"/>
        <v>8.82</v>
      </c>
    </row>
    <row r="102" spans="1:3" x14ac:dyDescent="0.2">
      <c r="A102" t="s">
        <v>9</v>
      </c>
      <c r="B102" vm="180">
        <f ca="1"/>
        <v>45824</v>
      </c>
      <c r="C102" vm="181">
        <f ca="1"/>
        <v>8.58</v>
      </c>
    </row>
    <row r="103" spans="1:3" x14ac:dyDescent="0.2">
      <c r="A103" t="s">
        <v>9</v>
      </c>
      <c r="B103" vm="182">
        <f ca="1"/>
        <v>45825</v>
      </c>
      <c r="C103" vm="159">
        <f ca="1"/>
        <v>7.8</v>
      </c>
    </row>
    <row r="104" spans="1:3" x14ac:dyDescent="0.2">
      <c r="A104" t="s">
        <v>9</v>
      </c>
      <c r="B104" vm="183">
        <f ca="1"/>
        <v>45826</v>
      </c>
      <c r="C104" vm="184">
        <f ca="1"/>
        <v>8.02</v>
      </c>
    </row>
    <row r="105" spans="1:3" x14ac:dyDescent="0.2">
      <c r="A105" t="s">
        <v>9</v>
      </c>
      <c r="B105" vm="185">
        <f ca="1"/>
        <v>45828</v>
      </c>
      <c r="C105" vm="186">
        <f ca="1"/>
        <v>7.94</v>
      </c>
    </row>
    <row r="106" spans="1:3" x14ac:dyDescent="0.2">
      <c r="A106" t="s">
        <v>9</v>
      </c>
      <c r="B106" vm="187">
        <f ca="1"/>
        <v>45831</v>
      </c>
      <c r="C106" vm="188">
        <f ca="1"/>
        <v>7.88</v>
      </c>
    </row>
    <row r="107" spans="1:3" x14ac:dyDescent="0.2">
      <c r="A107" t="s">
        <v>9</v>
      </c>
      <c r="B107" vm="189">
        <f ca="1"/>
        <v>45832</v>
      </c>
      <c r="C107" vm="190">
        <f ca="1"/>
        <v>8.06</v>
      </c>
    </row>
    <row r="108" spans="1:3" x14ac:dyDescent="0.2">
      <c r="A108" t="s">
        <v>9</v>
      </c>
      <c r="B108" vm="191">
        <f ca="1"/>
        <v>45833</v>
      </c>
      <c r="C108" vm="184">
        <f ca="1"/>
        <v>8.02</v>
      </c>
    </row>
    <row r="109" spans="1:3" x14ac:dyDescent="0.2">
      <c r="A109" t="s">
        <v>9</v>
      </c>
      <c r="B109" vm="192">
        <f ca="1"/>
        <v>45834</v>
      </c>
      <c r="C109" vm="193">
        <f ca="1"/>
        <v>7.95</v>
      </c>
    </row>
    <row r="110" spans="1:3" x14ac:dyDescent="0.2">
      <c r="A110" t="s">
        <v>9</v>
      </c>
      <c r="B110" vm="194">
        <f ca="1"/>
        <v>45835</v>
      </c>
      <c r="C110" vm="195">
        <f ca="1"/>
        <v>7.96</v>
      </c>
    </row>
    <row r="111" spans="1:3" x14ac:dyDescent="0.2">
      <c r="A111" t="s">
        <v>9</v>
      </c>
      <c r="B111" vm="196">
        <f ca="1"/>
        <v>45838</v>
      </c>
      <c r="C111" vm="197">
        <f ca="1"/>
        <v>7.72</v>
      </c>
    </row>
    <row r="112" spans="1:3" x14ac:dyDescent="0.2">
      <c r="A112" t="s">
        <v>9</v>
      </c>
      <c r="B112" vm="198">
        <f ca="1"/>
        <v>45839</v>
      </c>
      <c r="C112" vm="159">
        <f ca="1"/>
        <v>7.8</v>
      </c>
    </row>
    <row r="113" spans="1:3" x14ac:dyDescent="0.2">
      <c r="A113" t="s">
        <v>9</v>
      </c>
      <c r="B113" vm="199">
        <f ca="1"/>
        <v>45840</v>
      </c>
      <c r="C113" vm="200">
        <f ca="1"/>
        <v>8.25</v>
      </c>
    </row>
    <row r="114" spans="1:3" x14ac:dyDescent="0.2">
      <c r="A114" t="s">
        <v>9</v>
      </c>
      <c r="B114" vm="201">
        <f ca="1"/>
        <v>45841</v>
      </c>
      <c r="C114" vm="202">
        <f ca="1"/>
        <v>8.4649999999999999</v>
      </c>
    </row>
    <row r="115" spans="1:3" x14ac:dyDescent="0.2">
      <c r="A115" t="s">
        <v>9</v>
      </c>
      <c r="B115" vm="203">
        <f ca="1"/>
        <v>45845</v>
      </c>
      <c r="C115" vm="181">
        <f ca="1"/>
        <v>8.58</v>
      </c>
    </row>
    <row r="116" spans="1:3" x14ac:dyDescent="0.2">
      <c r="A116" t="s">
        <v>9</v>
      </c>
      <c r="B116" vm="204">
        <f ca="1"/>
        <v>45846</v>
      </c>
      <c r="C116" vm="205">
        <f ca="1"/>
        <v>9.27</v>
      </c>
    </row>
    <row r="117" spans="1:3" x14ac:dyDescent="0.2">
      <c r="A117" t="s">
        <v>9</v>
      </c>
      <c r="B117" vm="206">
        <f ca="1"/>
        <v>45847</v>
      </c>
      <c r="C117" vm="169">
        <f ca="1"/>
        <v>9.23</v>
      </c>
    </row>
    <row r="118" spans="1:3" x14ac:dyDescent="0.2">
      <c r="A118" t="s">
        <v>9</v>
      </c>
      <c r="B118" vm="207">
        <f ca="1"/>
        <v>45848</v>
      </c>
      <c r="C118" vm="208">
        <f ca="1"/>
        <v>9.48</v>
      </c>
    </row>
    <row r="119" spans="1:3" x14ac:dyDescent="0.2">
      <c r="A119" t="s">
        <v>9</v>
      </c>
      <c r="B119" vm="209">
        <f ca="1"/>
        <v>45849</v>
      </c>
      <c r="C119" vm="169">
        <f ca="1"/>
        <v>9.23</v>
      </c>
    </row>
    <row r="120" spans="1:3" x14ac:dyDescent="0.2">
      <c r="A120" t="s">
        <v>9</v>
      </c>
      <c r="B120" vm="210">
        <f ca="1"/>
        <v>45852</v>
      </c>
      <c r="C120" vm="13">
        <f ca="1"/>
        <v>9.3000000000000007</v>
      </c>
    </row>
    <row r="121" spans="1:3" x14ac:dyDescent="0.2">
      <c r="A121" t="s">
        <v>9</v>
      </c>
      <c r="B121" vm="211">
        <f ca="1"/>
        <v>45853</v>
      </c>
      <c r="C121" vm="205">
        <f ca="1"/>
        <v>9.27</v>
      </c>
    </row>
    <row r="122" spans="1:3" x14ac:dyDescent="0.2">
      <c r="A122" t="s">
        <v>9</v>
      </c>
      <c r="B122" vm="212">
        <f ca="1"/>
        <v>45854</v>
      </c>
      <c r="C122" vm="213">
        <f ca="1"/>
        <v>9.2799999999999994</v>
      </c>
    </row>
    <row r="123" spans="1:3" x14ac:dyDescent="0.2">
      <c r="A123" t="s">
        <v>9</v>
      </c>
      <c r="B123" vm="214">
        <f ca="1"/>
        <v>45855</v>
      </c>
      <c r="C123" vm="215">
        <f ca="1"/>
        <v>9.7100000000000009</v>
      </c>
    </row>
    <row r="124" spans="1:3" x14ac:dyDescent="0.2">
      <c r="A124" t="s">
        <v>9</v>
      </c>
      <c r="B124" vm="216">
        <f ca="1"/>
        <v>45856</v>
      </c>
      <c r="C124" vm="217">
        <f ca="1"/>
        <v>10</v>
      </c>
    </row>
    <row r="125" spans="1:3" x14ac:dyDescent="0.2">
      <c r="A125" t="s">
        <v>9</v>
      </c>
      <c r="B125" vm="218">
        <f ca="1"/>
        <v>45859</v>
      </c>
      <c r="C125" vm="219">
        <f ca="1"/>
        <v>11.5</v>
      </c>
    </row>
    <row r="126" spans="1:3" x14ac:dyDescent="0.2">
      <c r="A126" t="s">
        <v>9</v>
      </c>
      <c r="B126" vm="220">
        <f ca="1"/>
        <v>45860</v>
      </c>
      <c r="C126" vm="221">
        <f ca="1"/>
        <v>13.02</v>
      </c>
    </row>
    <row r="127" spans="1:3" x14ac:dyDescent="0.2">
      <c r="A127" t="s">
        <v>9</v>
      </c>
      <c r="B127" vm="222">
        <f ca="1"/>
        <v>45861</v>
      </c>
      <c r="C127" vm="223">
        <f ca="1"/>
        <v>12.26</v>
      </c>
    </row>
    <row r="128" spans="1:3" x14ac:dyDescent="0.2">
      <c r="A128" t="s">
        <v>9</v>
      </c>
      <c r="B128" vm="224">
        <f ca="1"/>
        <v>45862</v>
      </c>
      <c r="C128" vm="225">
        <f ca="1"/>
        <v>12.23</v>
      </c>
    </row>
    <row r="129" spans="1:4" x14ac:dyDescent="0.2">
      <c r="A129" t="s">
        <v>9</v>
      </c>
      <c r="B129" s="2" vm="226">
        <f ca="1"/>
        <v>45863</v>
      </c>
      <c r="C129" vm="227">
        <f ca="1"/>
        <v>11.58</v>
      </c>
      <c r="D129" t="s">
        <v>0</v>
      </c>
    </row>
    <row r="130" spans="1:4" x14ac:dyDescent="0.2">
      <c r="A130" t="s">
        <v>9</v>
      </c>
      <c r="B130" vm="228">
        <f ca="1"/>
        <v>45866</v>
      </c>
      <c r="C130" vm="229">
        <f ca="1"/>
        <v>11.81</v>
      </c>
    </row>
    <row r="131" spans="1:4" x14ac:dyDescent="0.2">
      <c r="A131" t="s">
        <v>9</v>
      </c>
      <c r="B131" vm="230">
        <f ca="1"/>
        <v>45867</v>
      </c>
      <c r="C131" vm="231">
        <f ca="1"/>
        <v>11.73</v>
      </c>
    </row>
    <row r="132" spans="1:4" x14ac:dyDescent="0.2">
      <c r="A132" t="s">
        <v>9</v>
      </c>
      <c r="B132" vm="232">
        <f ca="1"/>
        <v>45868</v>
      </c>
      <c r="C132" vm="233">
        <f ca="1"/>
        <v>12.11</v>
      </c>
    </row>
    <row r="133" spans="1:4" x14ac:dyDescent="0.2">
      <c r="A133" t="s">
        <v>9</v>
      </c>
      <c r="B133" vm="234">
        <f ca="1"/>
        <v>45869</v>
      </c>
      <c r="C133" vm="235">
        <f ca="1"/>
        <v>11.52</v>
      </c>
    </row>
    <row r="134" spans="1:4" x14ac:dyDescent="0.2">
      <c r="A134" t="s">
        <v>9</v>
      </c>
      <c r="B134" vm="236">
        <f ca="1"/>
        <v>45870</v>
      </c>
      <c r="C134" vm="237">
        <f ca="1"/>
        <v>11.55</v>
      </c>
    </row>
    <row r="135" spans="1:4" x14ac:dyDescent="0.2">
      <c r="A135" t="s">
        <v>9</v>
      </c>
      <c r="B135" vm="238">
        <f ca="1"/>
        <v>45873</v>
      </c>
      <c r="C135" vm="239">
        <f ca="1"/>
        <v>11.32</v>
      </c>
    </row>
    <row r="136" spans="1:4" x14ac:dyDescent="0.2">
      <c r="A136" t="s">
        <v>9</v>
      </c>
      <c r="B136" vm="240">
        <f ca="1"/>
        <v>45874</v>
      </c>
      <c r="C136" vm="241">
        <f ca="1"/>
        <v>11.22</v>
      </c>
    </row>
    <row r="137" spans="1:4" x14ac:dyDescent="0.2">
      <c r="A137" t="s">
        <v>9</v>
      </c>
      <c r="B137" vm="242">
        <f ca="1"/>
        <v>45875</v>
      </c>
      <c r="C137" vm="243">
        <f ca="1"/>
        <v>11.385</v>
      </c>
    </row>
    <row r="138" spans="1:4" x14ac:dyDescent="0.2">
      <c r="A138" t="s">
        <v>9</v>
      </c>
      <c r="B138" vm="244">
        <f ca="1"/>
        <v>45876</v>
      </c>
      <c r="C138" vm="245">
        <f ca="1"/>
        <v>10.96</v>
      </c>
    </row>
    <row r="139" spans="1:4" x14ac:dyDescent="0.2">
      <c r="A139" t="s">
        <v>9</v>
      </c>
      <c r="B139" vm="246">
        <f ca="1"/>
        <v>45877</v>
      </c>
      <c r="C139" vm="247">
        <f ca="1"/>
        <v>10.955</v>
      </c>
    </row>
    <row r="140" spans="1:4" x14ac:dyDescent="0.2">
      <c r="A140" t="s">
        <v>9</v>
      </c>
      <c r="B140" vm="248">
        <f ca="1"/>
        <v>45880</v>
      </c>
      <c r="C140" vm="249">
        <f ca="1"/>
        <v>10.32</v>
      </c>
    </row>
    <row r="141" spans="1:4" x14ac:dyDescent="0.2">
      <c r="A141" t="s">
        <v>9</v>
      </c>
      <c r="B141" vm="250">
        <f ca="1"/>
        <v>45881</v>
      </c>
      <c r="C141" vm="251">
        <f ca="1"/>
        <v>11.54</v>
      </c>
    </row>
    <row r="142" spans="1:4" x14ac:dyDescent="0.2">
      <c r="A142" t="s">
        <v>9</v>
      </c>
      <c r="B142" vm="252">
        <f ca="1"/>
        <v>45882</v>
      </c>
      <c r="C142" vm="253">
        <f ca="1"/>
        <v>12.13</v>
      </c>
    </row>
    <row r="143" spans="1:4" x14ac:dyDescent="0.2">
      <c r="A143" t="s">
        <v>9</v>
      </c>
      <c r="B143" vm="254">
        <f ca="1"/>
        <v>45883</v>
      </c>
      <c r="C143" vm="255">
        <f ca="1"/>
        <v>11.72</v>
      </c>
    </row>
    <row r="144" spans="1:4" x14ac:dyDescent="0.2">
      <c r="A144" t="s">
        <v>9</v>
      </c>
      <c r="B144" vm="256">
        <f ca="1"/>
        <v>45884</v>
      </c>
      <c r="C144" vm="257">
        <f ca="1"/>
        <v>12.29</v>
      </c>
    </row>
    <row r="145" spans="1:3" x14ac:dyDescent="0.2">
      <c r="A145" t="s">
        <v>9</v>
      </c>
      <c r="B145" vm="258">
        <f ca="1"/>
        <v>45887</v>
      </c>
      <c r="C145" vm="259">
        <f ca="1"/>
        <v>11.48</v>
      </c>
    </row>
    <row r="146" spans="1:3" x14ac:dyDescent="0.2">
      <c r="A146" t="s">
        <v>9</v>
      </c>
      <c r="B146" vm="260">
        <f ca="1"/>
        <v>45888</v>
      </c>
      <c r="C146" vm="259">
        <f ca="1"/>
        <v>11.48</v>
      </c>
    </row>
    <row r="147" spans="1:3" x14ac:dyDescent="0.2">
      <c r="A147" t="s">
        <v>9</v>
      </c>
      <c r="B147" vm="261">
        <f ca="1"/>
        <v>45889</v>
      </c>
      <c r="C147" vm="262">
        <f ca="1"/>
        <v>11.76</v>
      </c>
    </row>
    <row r="148" spans="1:3" x14ac:dyDescent="0.2">
      <c r="A148" t="s">
        <v>9</v>
      </c>
      <c r="B148" vm="263">
        <f ca="1"/>
        <v>45890</v>
      </c>
      <c r="C148" vm="264">
        <f ca="1"/>
        <v>11.49</v>
      </c>
    </row>
    <row r="149" spans="1:3" x14ac:dyDescent="0.2">
      <c r="A149" t="s">
        <v>9</v>
      </c>
      <c r="B149" vm="265">
        <f ca="1"/>
        <v>45891</v>
      </c>
      <c r="C149" vm="266">
        <f ca="1"/>
        <v>12.34</v>
      </c>
    </row>
    <row r="150" spans="1:3" x14ac:dyDescent="0.2">
      <c r="A150" t="s">
        <v>9</v>
      </c>
      <c r="B150" vm="267">
        <f ca="1"/>
        <v>45894</v>
      </c>
      <c r="C150" vm="268">
        <f ca="1"/>
        <v>12.24</v>
      </c>
    </row>
    <row r="151" spans="1:3" x14ac:dyDescent="0.2">
      <c r="A151" t="s">
        <v>9</v>
      </c>
      <c r="B151" vm="269">
        <f ca="1"/>
        <v>45895</v>
      </c>
      <c r="C151" vm="270">
        <f ca="1"/>
        <v>12.64</v>
      </c>
    </row>
    <row r="152" spans="1:3" x14ac:dyDescent="0.2">
      <c r="A152" t="s">
        <v>9</v>
      </c>
      <c r="B152" vm="271">
        <f ca="1"/>
        <v>45896</v>
      </c>
      <c r="C152" vm="272">
        <f ca="1"/>
        <v>12.35</v>
      </c>
    </row>
    <row r="153" spans="1:3" x14ac:dyDescent="0.2">
      <c r="A153" t="s">
        <v>9</v>
      </c>
      <c r="B153" vm="273">
        <f ca="1"/>
        <v>45897</v>
      </c>
      <c r="C153" vm="274">
        <f ca="1"/>
        <v>12.36</v>
      </c>
    </row>
    <row r="154" spans="1:3" x14ac:dyDescent="0.2">
      <c r="A154" t="s">
        <v>9</v>
      </c>
      <c r="B154" vm="275">
        <f ca="1"/>
        <v>45898</v>
      </c>
      <c r="C154" vm="276">
        <f ca="1"/>
        <v>12.05</v>
      </c>
    </row>
    <row r="155" spans="1:3" x14ac:dyDescent="0.2">
      <c r="A155" t="s">
        <v>9</v>
      </c>
      <c r="B155" vm="277">
        <f ca="1"/>
        <v>45902</v>
      </c>
      <c r="C155" vm="266">
        <f ca="1"/>
        <v>12.34</v>
      </c>
    </row>
    <row r="156" spans="1:3" x14ac:dyDescent="0.2">
      <c r="A156" t="s">
        <v>9</v>
      </c>
      <c r="B156" vm="278">
        <f ca="1"/>
        <v>45903</v>
      </c>
      <c r="C156" vm="279">
        <f ca="1"/>
        <v>12.63</v>
      </c>
    </row>
    <row r="157" spans="1:3" x14ac:dyDescent="0.2">
      <c r="A157" t="s">
        <v>9</v>
      </c>
      <c r="B157" vm="280">
        <f ca="1"/>
        <v>45904</v>
      </c>
      <c r="C157" vm="281">
        <f ca="1"/>
        <v>12.8</v>
      </c>
    </row>
    <row r="158" spans="1:3" x14ac:dyDescent="0.2">
      <c r="A158" t="s">
        <v>9</v>
      </c>
      <c r="B158" vm="282">
        <f ca="1"/>
        <v>45905</v>
      </c>
      <c r="C158" vm="283">
        <f ca="1"/>
        <v>12.91</v>
      </c>
    </row>
    <row r="159" spans="1:3" x14ac:dyDescent="0.2">
      <c r="A159" t="s">
        <v>9</v>
      </c>
      <c r="B159" vm="284">
        <f ca="1"/>
        <v>45908</v>
      </c>
      <c r="C159" vm="285">
        <f ca="1"/>
        <v>12.18</v>
      </c>
    </row>
    <row r="160" spans="1:3" x14ac:dyDescent="0.2">
      <c r="A160" t="s">
        <v>9</v>
      </c>
      <c r="B160" vm="286">
        <f ca="1"/>
        <v>45909</v>
      </c>
      <c r="C160" vm="287">
        <f ca="1"/>
        <v>11.945</v>
      </c>
    </row>
    <row r="161" spans="1:3" x14ac:dyDescent="0.2">
      <c r="A161" t="s">
        <v>9</v>
      </c>
      <c r="B161" vm="288">
        <f ca="1"/>
        <v>45910</v>
      </c>
      <c r="C161" vm="289">
        <f ca="1"/>
        <v>11.78</v>
      </c>
    </row>
    <row r="162" spans="1:3" x14ac:dyDescent="0.2">
      <c r="A162" t="s">
        <v>9</v>
      </c>
      <c r="B162" vm="290">
        <f ca="1"/>
        <v>45911</v>
      </c>
      <c r="C162" vm="291">
        <f ca="1"/>
        <v>12.16</v>
      </c>
    </row>
    <row r="163" spans="1:3" x14ac:dyDescent="0.2">
      <c r="A163" t="s">
        <v>9</v>
      </c>
      <c r="B163" vm="292">
        <f ca="1"/>
        <v>45912</v>
      </c>
      <c r="C163" vm="293">
        <f ca="1"/>
        <v>12.12</v>
      </c>
    </row>
    <row r="164" spans="1:3" x14ac:dyDescent="0.2">
      <c r="A164" t="s">
        <v>9</v>
      </c>
      <c r="B164" vm="294">
        <f ca="1"/>
        <v>45915</v>
      </c>
      <c r="C164" vm="295">
        <f ca="1"/>
        <v>11.94</v>
      </c>
    </row>
    <row r="165" spans="1:3" x14ac:dyDescent="0.2">
      <c r="A165" t="s">
        <v>9</v>
      </c>
      <c r="B165" vm="296">
        <f ca="1"/>
        <v>45916</v>
      </c>
      <c r="C165" vm="297">
        <f ca="1"/>
        <v>11.51</v>
      </c>
    </row>
    <row r="166" spans="1:3" x14ac:dyDescent="0.2">
      <c r="A166" t="s">
        <v>9</v>
      </c>
      <c r="B166" vm="298">
        <f ca="1"/>
        <v>45917</v>
      </c>
      <c r="C166" vm="299">
        <f ca="1"/>
        <v>11.59</v>
      </c>
    </row>
    <row r="167" spans="1:3" x14ac:dyDescent="0.2">
      <c r="A167" t="s">
        <v>9</v>
      </c>
      <c r="B167" vm="300">
        <f ca="1"/>
        <v>45918</v>
      </c>
      <c r="C167" vm="301">
        <f ca="1"/>
        <v>12.07</v>
      </c>
    </row>
    <row r="168" spans="1:3" x14ac:dyDescent="0.2">
      <c r="A168" t="s">
        <v>9</v>
      </c>
      <c r="B168" vm="302">
        <f ca="1"/>
        <v>45919</v>
      </c>
      <c r="C168" vm="276">
        <f ca="1"/>
        <v>12.05</v>
      </c>
    </row>
    <row r="169" spans="1:3" x14ac:dyDescent="0.2">
      <c r="A169" t="s">
        <v>9</v>
      </c>
      <c r="B169" vm="303">
        <f ca="1"/>
        <v>45922</v>
      </c>
      <c r="C169" vm="304">
        <f ca="1"/>
        <v>12.3</v>
      </c>
    </row>
    <row r="170" spans="1:3" x14ac:dyDescent="0.2">
      <c r="A170" t="s">
        <v>9</v>
      </c>
      <c r="B170" vm="305">
        <f ca="1"/>
        <v>45923</v>
      </c>
      <c r="C170" vm="306">
        <f ca="1"/>
        <v>12.97</v>
      </c>
    </row>
    <row r="171" spans="1:3" x14ac:dyDescent="0.2">
      <c r="A171" t="s">
        <v>9</v>
      </c>
      <c r="B171" vm="307">
        <f ca="1"/>
        <v>45924</v>
      </c>
      <c r="C171" vm="308">
        <f ca="1"/>
        <v>14.26</v>
      </c>
    </row>
    <row r="172" spans="1:3" x14ac:dyDescent="0.2">
      <c r="A172" t="s">
        <v>9</v>
      </c>
      <c r="B172" vm="309">
        <f ca="1"/>
        <v>45925</v>
      </c>
      <c r="C172" vm="310">
        <f ca="1"/>
        <v>13.83</v>
      </c>
    </row>
    <row r="173" spans="1:3" x14ac:dyDescent="0.2">
      <c r="A173" t="s">
        <v>9</v>
      </c>
      <c r="B173" vm="311">
        <f ca="1"/>
        <v>45926</v>
      </c>
      <c r="C173" vm="312">
        <f ca="1"/>
        <v>13.74</v>
      </c>
    </row>
    <row r="174" spans="1:3" x14ac:dyDescent="0.2">
      <c r="A174" t="s">
        <v>9</v>
      </c>
      <c r="B174" vm="313">
        <f ca="1"/>
        <v>45929</v>
      </c>
      <c r="C174" vm="314">
        <f ca="1"/>
        <v>13.81</v>
      </c>
    </row>
    <row r="175" spans="1:3" x14ac:dyDescent="0.2">
      <c r="A175" t="s">
        <v>9</v>
      </c>
      <c r="B175" vm="315">
        <f ca="1"/>
        <v>45930</v>
      </c>
      <c r="C175" vm="316">
        <f ca="1"/>
        <v>14.33</v>
      </c>
    </row>
    <row r="176" spans="1:3" x14ac:dyDescent="0.2">
      <c r="A176" t="s">
        <v>9</v>
      </c>
      <c r="B176" vm="317">
        <f ca="1"/>
        <v>45931</v>
      </c>
      <c r="C176" vm="318">
        <f ca="1"/>
        <v>14.45</v>
      </c>
    </row>
    <row r="177" spans="1:3" x14ac:dyDescent="0.2">
      <c r="A177" t="s">
        <v>9</v>
      </c>
      <c r="B177" vm="319">
        <f ca="1"/>
        <v>45932</v>
      </c>
      <c r="C177" vm="320">
        <f ca="1"/>
        <v>14.48</v>
      </c>
    </row>
    <row r="178" spans="1:3" x14ac:dyDescent="0.2">
      <c r="A178" t="s">
        <v>9</v>
      </c>
      <c r="B178" vm="321">
        <f ca="1"/>
        <v>45933</v>
      </c>
      <c r="C178" vm="322">
        <f ca="1"/>
        <v>14.41</v>
      </c>
    </row>
    <row r="179" spans="1:3" x14ac:dyDescent="0.2">
      <c r="A179" t="s">
        <v>9</v>
      </c>
      <c r="B179" vm="323">
        <f ca="1"/>
        <v>45936</v>
      </c>
      <c r="C179" vm="324">
        <f ca="1"/>
        <v>13.98</v>
      </c>
    </row>
    <row r="180" spans="1:3" x14ac:dyDescent="0.2">
      <c r="A180" t="s">
        <v>9</v>
      </c>
      <c r="B180" vm="325">
        <f ca="1"/>
        <v>45937</v>
      </c>
      <c r="C180" vm="326">
        <f ca="1"/>
        <v>15.63</v>
      </c>
    </row>
    <row r="181" spans="1:3" x14ac:dyDescent="0.2">
      <c r="A181" t="s">
        <v>9</v>
      </c>
      <c r="B181" vm="327">
        <f ca="1"/>
        <v>45938</v>
      </c>
      <c r="C181" vm="328">
        <f ca="1"/>
        <v>15.85</v>
      </c>
    </row>
    <row r="182" spans="1:3" x14ac:dyDescent="0.2">
      <c r="A182" t="s">
        <v>9</v>
      </c>
      <c r="B182" vm="329">
        <f ca="1"/>
        <v>45939</v>
      </c>
      <c r="C182" vm="330">
        <f ca="1"/>
        <v>16.079999999999998</v>
      </c>
    </row>
    <row r="183" spans="1:3" x14ac:dyDescent="0.2">
      <c r="A183" t="s">
        <v>9</v>
      </c>
      <c r="B183" vm="331">
        <f ca="1"/>
        <v>45940</v>
      </c>
      <c r="C183" vm="332">
        <f ca="1"/>
        <v>14.324999999999999</v>
      </c>
    </row>
    <row r="184" spans="1:3" x14ac:dyDescent="0.2">
      <c r="A184" t="s">
        <v>9</v>
      </c>
      <c r="B184" vm="333">
        <f ca="1"/>
        <v>45943</v>
      </c>
      <c r="C184" vm="334">
        <f ca="1"/>
        <v>15.04</v>
      </c>
    </row>
    <row r="185" spans="1:3" x14ac:dyDescent="0.2">
      <c r="A185" t="s">
        <v>9</v>
      </c>
      <c r="B185" vm="335">
        <f ca="1"/>
        <v>45944</v>
      </c>
      <c r="C185" vm="336">
        <f ca="1"/>
        <v>14.61</v>
      </c>
    </row>
    <row r="186" spans="1:3" x14ac:dyDescent="0.2">
      <c r="A186" t="s">
        <v>9</v>
      </c>
      <c r="B186" vm="337">
        <f ca="1"/>
        <v>45945</v>
      </c>
      <c r="C186" vm="338">
        <f ca="1"/>
        <v>15.28</v>
      </c>
    </row>
    <row r="187" spans="1:3" x14ac:dyDescent="0.2">
      <c r="A187" t="s">
        <v>9</v>
      </c>
      <c r="B187" vm="339">
        <f ca="1"/>
        <v>45946</v>
      </c>
      <c r="C187" vm="340">
        <f ca="1"/>
        <v>15.244999999999999</v>
      </c>
    </row>
    <row r="188" spans="1:3" x14ac:dyDescent="0.2">
      <c r="A188" t="s">
        <v>9</v>
      </c>
      <c r="B188" vm="341">
        <f ca="1"/>
        <v>45947</v>
      </c>
      <c r="C188" vm="342">
        <f ca="1"/>
        <v>14.81</v>
      </c>
    </row>
    <row r="189" spans="1:3" x14ac:dyDescent="0.2">
      <c r="A189" t="s">
        <v>9</v>
      </c>
      <c r="B189" vm="343">
        <f ca="1"/>
        <v>45950</v>
      </c>
      <c r="C189" vm="344">
        <f ca="1"/>
        <v>16.04</v>
      </c>
    </row>
    <row r="190" spans="1:3" x14ac:dyDescent="0.2">
      <c r="A190" t="s">
        <v>9</v>
      </c>
      <c r="B190" vm="345">
        <f ca="1"/>
        <v>45951</v>
      </c>
      <c r="C190" vm="346">
        <f ca="1"/>
        <v>15.79</v>
      </c>
    </row>
    <row r="191" spans="1:3" x14ac:dyDescent="0.2">
      <c r="A191" t="s">
        <v>9</v>
      </c>
      <c r="B191" vm="347">
        <f ca="1"/>
        <v>45952</v>
      </c>
      <c r="C191" vm="348">
        <f ca="1"/>
        <v>14.63</v>
      </c>
    </row>
    <row r="192" spans="1:3" x14ac:dyDescent="0.2">
      <c r="A192" t="s">
        <v>9</v>
      </c>
      <c r="B192" vm="349">
        <f ca="1"/>
        <v>45953</v>
      </c>
      <c r="C192" vm="350">
        <f ca="1"/>
        <v>14.12</v>
      </c>
    </row>
    <row r="193" spans="1:3" x14ac:dyDescent="0.2">
      <c r="A193" t="s">
        <v>9</v>
      </c>
      <c r="B193" vm="351">
        <f ca="1"/>
        <v>45954</v>
      </c>
      <c r="C193" vm="352">
        <f ca="1"/>
        <v>14.49</v>
      </c>
    </row>
    <row r="194" spans="1:3" x14ac:dyDescent="0.2">
      <c r="A194" t="s">
        <v>9</v>
      </c>
      <c r="B194" vm="353">
        <f ca="1"/>
        <v>45957</v>
      </c>
      <c r="C194" vm="354">
        <f ca="1"/>
        <v>15.59</v>
      </c>
    </row>
    <row r="195" spans="1:3" x14ac:dyDescent="0.2">
      <c r="A195" t="s">
        <v>9</v>
      </c>
      <c r="B195" vm="355">
        <f ca="1"/>
        <v>45958</v>
      </c>
      <c r="C195" vm="356">
        <f ca="1"/>
        <v>15.21</v>
      </c>
    </row>
    <row r="196" spans="1:3" x14ac:dyDescent="0.2">
      <c r="A196" t="s">
        <v>9</v>
      </c>
      <c r="B196" vm="357">
        <f ca="1"/>
        <v>45959</v>
      </c>
      <c r="C196" vm="358">
        <f ca="1"/>
        <v>14.06</v>
      </c>
    </row>
    <row r="197" spans="1:3" x14ac:dyDescent="0.2">
      <c r="A197" t="s">
        <v>9</v>
      </c>
      <c r="B197" vm="359">
        <f ca="1"/>
        <v>45960</v>
      </c>
      <c r="C197" vm="360">
        <f ca="1"/>
        <v>14.045</v>
      </c>
    </row>
    <row r="198" spans="1:3" x14ac:dyDescent="0.2">
      <c r="A198" t="s">
        <v>9</v>
      </c>
      <c r="B198" vm="361">
        <f ca="1"/>
        <v>45961</v>
      </c>
      <c r="C198" vm="362">
        <f ca="1"/>
        <v>14.85</v>
      </c>
    </row>
    <row r="199" spans="1:3" x14ac:dyDescent="0.2">
      <c r="A199" t="s">
        <v>9</v>
      </c>
      <c r="B199" vm="363">
        <f ca="1"/>
        <v>45964</v>
      </c>
      <c r="C199" vm="364">
        <f ca="1"/>
        <v>13.85</v>
      </c>
    </row>
    <row r="200" spans="1:3" x14ac:dyDescent="0.2">
      <c r="A200" t="s">
        <v>9</v>
      </c>
      <c r="B200" vm="365">
        <f ca="1"/>
        <v>45965</v>
      </c>
      <c r="C200" vm="257">
        <f ca="1"/>
        <v>12.29</v>
      </c>
    </row>
    <row r="201" spans="1:3" x14ac:dyDescent="0.2">
      <c r="A201" t="s">
        <v>9</v>
      </c>
      <c r="B201" vm="366">
        <f ca="1"/>
        <v>45966</v>
      </c>
      <c r="C201" vm="367">
        <f ca="1"/>
        <v>10.75</v>
      </c>
    </row>
    <row r="202" spans="1:3" x14ac:dyDescent="0.2">
      <c r="A202" t="s">
        <v>9</v>
      </c>
      <c r="B202" vm="368">
        <f ca="1"/>
        <v>45967</v>
      </c>
      <c r="C202" vm="369">
        <f ca="1"/>
        <v>11.82</v>
      </c>
    </row>
    <row r="203" spans="1:3" x14ac:dyDescent="0.2">
      <c r="A203" t="s">
        <v>9</v>
      </c>
      <c r="B203" vm="370">
        <f ca="1"/>
        <v>45968</v>
      </c>
      <c r="C203" vm="229">
        <f ca="1"/>
        <v>11.81</v>
      </c>
    </row>
    <row r="204" spans="1:3" x14ac:dyDescent="0.2">
      <c r="A204" t="s">
        <v>9</v>
      </c>
      <c r="B204" vm="371">
        <f ca="1"/>
        <v>45971</v>
      </c>
      <c r="C204" vm="304">
        <f ca="1"/>
        <v>12.3</v>
      </c>
    </row>
    <row r="205" spans="1:3" x14ac:dyDescent="0.2">
      <c r="A205" t="s">
        <v>9</v>
      </c>
      <c r="B205" vm="372">
        <f ca="1"/>
        <v>45972</v>
      </c>
      <c r="C205" vm="373">
        <f ca="1"/>
        <v>12.56</v>
      </c>
    </row>
    <row r="206" spans="1:3" x14ac:dyDescent="0.2">
      <c r="A206" t="s">
        <v>9</v>
      </c>
      <c r="B206" vm="374">
        <f ca="1"/>
        <v>45973</v>
      </c>
      <c r="C206" vm="375">
        <f ca="1"/>
        <v>12.47</v>
      </c>
    </row>
    <row r="207" spans="1:3" x14ac:dyDescent="0.2">
      <c r="A207" t="s">
        <v>9</v>
      </c>
      <c r="B207" vm="376">
        <f ca="1"/>
        <v>45974</v>
      </c>
      <c r="C207" vm="377">
        <f ca="1"/>
        <v>13.39</v>
      </c>
    </row>
    <row r="208" spans="1:3" x14ac:dyDescent="0.2">
      <c r="A208" t="s">
        <v>9</v>
      </c>
      <c r="B208" vm="378">
        <f ca="1"/>
        <v>45975</v>
      </c>
      <c r="C208" vm="379">
        <f ca="1"/>
        <v>13.76</v>
      </c>
    </row>
    <row r="209" spans="1:3" x14ac:dyDescent="0.2">
      <c r="A209" t="s">
        <v>9</v>
      </c>
      <c r="B209" vm="380">
        <f ca="1"/>
        <v>45978</v>
      </c>
      <c r="C209" vm="381">
        <f ca="1"/>
        <v>13.1</v>
      </c>
    </row>
    <row r="210" spans="1:3" x14ac:dyDescent="0.2">
      <c r="A210" t="s">
        <v>9</v>
      </c>
      <c r="B210" vm="382">
        <f ca="1"/>
        <v>45979</v>
      </c>
      <c r="C210" vm="383">
        <f ca="1"/>
        <v>13.46</v>
      </c>
    </row>
    <row r="211" spans="1:3" x14ac:dyDescent="0.2">
      <c r="A211" t="s">
        <v>9</v>
      </c>
      <c r="B211" vm="384">
        <f ca="1"/>
        <v>45980</v>
      </c>
      <c r="C211" vm="312">
        <f ca="1"/>
        <v>13.74</v>
      </c>
    </row>
    <row r="212" spans="1:3" x14ac:dyDescent="0.2">
      <c r="A212" t="s">
        <v>9</v>
      </c>
      <c r="B212" vm="385">
        <f ca="1"/>
        <v>45981</v>
      </c>
      <c r="C212" vm="386">
        <f ca="1"/>
        <v>13.22</v>
      </c>
    </row>
    <row r="213" spans="1:3" x14ac:dyDescent="0.2">
      <c r="A213" t="s">
        <v>9</v>
      </c>
      <c r="B213" vm="387">
        <f ca="1"/>
        <v>45982</v>
      </c>
      <c r="C213" vm="388">
        <f ca="1"/>
        <v>13.68</v>
      </c>
    </row>
    <row r="214" spans="1:3" x14ac:dyDescent="0.2">
      <c r="A214" t="s">
        <v>9</v>
      </c>
      <c r="B214" vm="389">
        <f ca="1"/>
        <v>45985</v>
      </c>
      <c r="C214" vm="390">
        <f ca="1"/>
        <v>14.03</v>
      </c>
    </row>
    <row r="215" spans="1:3" x14ac:dyDescent="0.2">
      <c r="A215" t="s">
        <v>9</v>
      </c>
      <c r="B215" vm="391">
        <f ca="1"/>
        <v>45986</v>
      </c>
      <c r="C215" vm="392">
        <f ca="1"/>
        <v>14.57</v>
      </c>
    </row>
    <row r="216" spans="1:3" x14ac:dyDescent="0.2">
      <c r="A216" t="s">
        <v>9</v>
      </c>
      <c r="B216" vm="393">
        <f ca="1"/>
        <v>45987</v>
      </c>
      <c r="C216" vm="394">
        <f ca="1"/>
        <v>14.86</v>
      </c>
    </row>
    <row r="217" spans="1:3" x14ac:dyDescent="0.2">
      <c r="A217" t="s">
        <v>9</v>
      </c>
      <c r="B217" vm="395">
        <f ca="1"/>
        <v>45989</v>
      </c>
      <c r="C217" vm="396">
        <f ca="1"/>
        <v>15.1</v>
      </c>
    </row>
    <row r="218" spans="1:3" x14ac:dyDescent="0.2">
      <c r="A218" t="s">
        <v>9</v>
      </c>
      <c r="B218" vm="397">
        <f ca="1"/>
        <v>45992</v>
      </c>
      <c r="C218" vm="398">
        <f ca="1"/>
        <v>13.54</v>
      </c>
    </row>
    <row r="219" spans="1:3" x14ac:dyDescent="0.2">
      <c r="A219" t="s">
        <v>9</v>
      </c>
      <c r="B219" vm="399">
        <f ca="1"/>
        <v>45993</v>
      </c>
      <c r="C219" vm="400">
        <f ca="1"/>
        <v>12.22</v>
      </c>
    </row>
    <row r="220" spans="1:3" x14ac:dyDescent="0.2">
      <c r="A220" t="s">
        <v>9</v>
      </c>
      <c r="B220" vm="401">
        <f ca="1"/>
        <v>45994</v>
      </c>
      <c r="C220" vm="402">
        <f ca="1"/>
        <v>12.55</v>
      </c>
    </row>
    <row r="221" spans="1:3" x14ac:dyDescent="0.2">
      <c r="A221" t="s">
        <v>9</v>
      </c>
      <c r="B221" vm="403">
        <f ca="1"/>
        <v>45995</v>
      </c>
      <c r="C221" vm="404">
        <f ca="1"/>
        <v>14.2</v>
      </c>
    </row>
    <row r="222" spans="1:3" x14ac:dyDescent="0.2">
      <c r="A222" t="s">
        <v>9</v>
      </c>
      <c r="B222" vm="405">
        <f ca="1"/>
        <v>45996</v>
      </c>
      <c r="C222" vm="316">
        <f ca="1"/>
        <v>14.33</v>
      </c>
    </row>
    <row r="223" spans="1:3" x14ac:dyDescent="0.2">
      <c r="A223" t="s">
        <v>9</v>
      </c>
      <c r="B223" vm="406">
        <f ca="1"/>
        <v>45999</v>
      </c>
      <c r="C223" vm="407">
        <f ca="1"/>
        <v>15.08</v>
      </c>
    </row>
    <row r="224" spans="1:3" x14ac:dyDescent="0.2">
      <c r="A224" t="s">
        <v>9</v>
      </c>
      <c r="B224" vm="408">
        <f ca="1"/>
        <v>46000</v>
      </c>
      <c r="C224" vm="409">
        <f ca="1"/>
        <v>15.69</v>
      </c>
    </row>
    <row r="225" spans="1:3" x14ac:dyDescent="0.2">
      <c r="A225" t="s">
        <v>9</v>
      </c>
      <c r="B225" vm="410">
        <f ca="1"/>
        <v>46001</v>
      </c>
      <c r="C225" vm="411">
        <f ca="1"/>
        <v>16.829999999999998</v>
      </c>
    </row>
    <row r="226" spans="1:3" x14ac:dyDescent="0.2">
      <c r="A226" t="s">
        <v>9</v>
      </c>
      <c r="B226" vm="412">
        <f ca="1"/>
        <v>46002</v>
      </c>
      <c r="C226" vm="413">
        <f ca="1"/>
        <v>17.82</v>
      </c>
    </row>
    <row r="227" spans="1:3" x14ac:dyDescent="0.2">
      <c r="A227" t="s">
        <v>9</v>
      </c>
      <c r="B227" vm="414">
        <f ca="1"/>
        <v>46003</v>
      </c>
      <c r="C227" vm="415">
        <f ca="1"/>
        <v>17.995000000000001</v>
      </c>
    </row>
    <row r="228" spans="1:3" x14ac:dyDescent="0.2">
      <c r="A228" t="s">
        <v>9</v>
      </c>
      <c r="B228" vm="416">
        <f ca="1"/>
        <v>46006</v>
      </c>
      <c r="C228" vm="417">
        <f ca="1"/>
        <v>17.95</v>
      </c>
    </row>
    <row r="229" spans="1:3" x14ac:dyDescent="0.2">
      <c r="A229" t="s">
        <v>9</v>
      </c>
      <c r="B229" vm="418">
        <f ca="1"/>
        <v>46007</v>
      </c>
      <c r="C229" vm="419">
        <f ca="1"/>
        <v>17.579999999999998</v>
      </c>
    </row>
    <row r="230" spans="1:3" x14ac:dyDescent="0.2">
      <c r="A230" t="s">
        <v>9</v>
      </c>
      <c r="B230" vm="420">
        <f ca="1"/>
        <v>46008</v>
      </c>
      <c r="C230" vm="421">
        <f ca="1"/>
        <v>17.18</v>
      </c>
    </row>
    <row r="231" spans="1:3" x14ac:dyDescent="0.2">
      <c r="A231" t="s">
        <v>9</v>
      </c>
      <c r="B231" vm="422">
        <f ca="1"/>
        <v>46009</v>
      </c>
      <c r="C231" vm="423">
        <f ca="1"/>
        <v>17.23</v>
      </c>
    </row>
    <row r="232" spans="1:3" x14ac:dyDescent="0.2">
      <c r="A232" t="s">
        <v>9</v>
      </c>
      <c r="B232" vm="424">
        <f ca="1"/>
        <v>46010</v>
      </c>
      <c r="C232" vm="425">
        <f ca="1"/>
        <v>17.170000000000002</v>
      </c>
    </row>
    <row r="233" spans="1:3" x14ac:dyDescent="0.2">
      <c r="A233" t="s">
        <v>9</v>
      </c>
      <c r="B233" vm="426">
        <f ca="1"/>
        <v>46013</v>
      </c>
      <c r="C233" vm="427">
        <f ca="1"/>
        <v>17.86</v>
      </c>
    </row>
    <row r="234" spans="1:3" x14ac:dyDescent="0.2">
      <c r="A234" t="s">
        <v>9</v>
      </c>
      <c r="B234" vm="428">
        <f ca="1"/>
        <v>46014</v>
      </c>
      <c r="C234" vm="429">
        <f ca="1"/>
        <v>17.5</v>
      </c>
    </row>
    <row r="235" spans="1:3" x14ac:dyDescent="0.2">
      <c r="A235" t="s">
        <v>9</v>
      </c>
      <c r="B235" vm="430">
        <f ca="1"/>
        <v>46015</v>
      </c>
      <c r="C235" vm="431">
        <f ca="1"/>
        <v>17.59</v>
      </c>
    </row>
    <row r="236" spans="1:3" x14ac:dyDescent="0.2">
      <c r="A236" t="s">
        <v>9</v>
      </c>
      <c r="B236" vm="432">
        <f ca="1"/>
        <v>46017</v>
      </c>
      <c r="C236" vm="433">
        <f ca="1"/>
        <v>17.27</v>
      </c>
    </row>
    <row r="237" spans="1:3" x14ac:dyDescent="0.2">
      <c r="A237" t="s">
        <v>9</v>
      </c>
      <c r="B237" vm="434">
        <f ca="1"/>
        <v>46020</v>
      </c>
      <c r="C237" vm="435">
        <f ca="1"/>
        <v>17.989999999999998</v>
      </c>
    </row>
    <row r="238" spans="1:3" x14ac:dyDescent="0.2">
      <c r="A238" t="s">
        <v>9</v>
      </c>
      <c r="B238" vm="436">
        <f ca="1"/>
        <v>46021</v>
      </c>
      <c r="C238" vm="437">
        <f ca="1"/>
        <v>17.88</v>
      </c>
    </row>
    <row r="239" spans="1:3" x14ac:dyDescent="0.2">
      <c r="A239" t="s">
        <v>9</v>
      </c>
      <c r="B239" vm="438">
        <f ca="1"/>
        <v>46022</v>
      </c>
      <c r="C239" vm="439">
        <f ca="1"/>
        <v>18.09</v>
      </c>
    </row>
    <row r="240" spans="1:3" x14ac:dyDescent="0.2">
      <c r="A240" t="s">
        <v>9</v>
      </c>
      <c r="B240" vm="440">
        <f ca="1"/>
        <v>46024</v>
      </c>
      <c r="C240" vm="441">
        <f ca="1"/>
        <v>17.77</v>
      </c>
    </row>
    <row r="241" spans="1:4" x14ac:dyDescent="0.2">
      <c r="A241" t="s">
        <v>9</v>
      </c>
      <c r="B241" vm="442">
        <f ca="1"/>
        <v>46027</v>
      </c>
      <c r="C241" vm="443">
        <f ca="1"/>
        <v>16.86</v>
      </c>
    </row>
    <row r="242" spans="1:4" x14ac:dyDescent="0.2">
      <c r="A242" t="s">
        <v>9</v>
      </c>
      <c r="B242" vm="444">
        <f ca="1"/>
        <v>46028</v>
      </c>
      <c r="C242" vm="392">
        <f ca="1"/>
        <v>14.57</v>
      </c>
    </row>
    <row r="243" spans="1:4" x14ac:dyDescent="0.2">
      <c r="A243" t="s">
        <v>9</v>
      </c>
      <c r="B243" vm="445">
        <f ca="1"/>
        <v>46029</v>
      </c>
      <c r="C243" vm="446">
        <f ca="1"/>
        <v>14.94</v>
      </c>
    </row>
    <row r="244" spans="1:4" x14ac:dyDescent="0.2">
      <c r="A244" t="s">
        <v>9</v>
      </c>
      <c r="B244" vm="447">
        <f ca="1"/>
        <v>46030</v>
      </c>
      <c r="C244" vm="448">
        <f ca="1"/>
        <v>17.440000000000001</v>
      </c>
    </row>
    <row r="245" spans="1:4" x14ac:dyDescent="0.2">
      <c r="A245" t="s">
        <v>9</v>
      </c>
      <c r="B245" vm="449">
        <f ca="1"/>
        <v>46031</v>
      </c>
      <c r="C245" vm="450">
        <f ca="1"/>
        <v>13.67</v>
      </c>
    </row>
    <row r="246" spans="1:4" x14ac:dyDescent="0.2">
      <c r="A246" t="s">
        <v>9</v>
      </c>
      <c r="B246" s="2" vm="451">
        <f ca="1"/>
        <v>46034</v>
      </c>
      <c r="C246" vm="452">
        <f ca="1"/>
        <v>5.88</v>
      </c>
      <c r="D246" t="s">
        <v>1</v>
      </c>
    </row>
    <row r="247" spans="1:4" x14ac:dyDescent="0.2">
      <c r="A247" t="s">
        <v>9</v>
      </c>
      <c r="B247" vm="453">
        <f ca="1"/>
        <v>46035</v>
      </c>
      <c r="C247" vm="454">
        <f ca="1"/>
        <v>4.37</v>
      </c>
    </row>
    <row r="248" spans="1:4" x14ac:dyDescent="0.2">
      <c r="A248" t="s">
        <v>9</v>
      </c>
      <c r="B248" vm="455">
        <f ca="1"/>
        <v>46036</v>
      </c>
      <c r="C248" vm="456">
        <f ca="1"/>
        <v>4.47</v>
      </c>
    </row>
    <row r="249" spans="1:4" x14ac:dyDescent="0.2">
      <c r="A249" t="s">
        <v>9</v>
      </c>
      <c r="B249" vm="457">
        <f ca="1"/>
        <v>46037</v>
      </c>
      <c r="C249" vm="458">
        <f ca="1"/>
        <v>4.62</v>
      </c>
    </row>
    <row r="250" spans="1:4" x14ac:dyDescent="0.2">
      <c r="A250" t="s">
        <v>9</v>
      </c>
      <c r="B250" vm="459">
        <f ca="1"/>
        <v>46038</v>
      </c>
      <c r="C250" vm="460">
        <f ca="1"/>
        <v>4.54</v>
      </c>
    </row>
    <row r="251" spans="1:4" x14ac:dyDescent="0.2">
      <c r="A251" t="s">
        <v>9</v>
      </c>
      <c r="B251" vm="461">
        <f ca="1"/>
        <v>46042</v>
      </c>
      <c r="C251" vm="462">
        <f ca="1"/>
        <v>4.32</v>
      </c>
    </row>
    <row r="252" spans="1:4" x14ac:dyDescent="0.2">
      <c r="A252" t="s">
        <v>9</v>
      </c>
      <c r="B252" vm="463">
        <f ca="1"/>
        <v>46043</v>
      </c>
      <c r="C252" vm="464">
        <f ca="1"/>
        <v>4.5999999999999996</v>
      </c>
    </row>
    <row r="253" spans="1:4" x14ac:dyDescent="0.2">
      <c r="A253" t="s">
        <v>9</v>
      </c>
      <c r="B253" vm="465">
        <f ca="1"/>
        <v>46044</v>
      </c>
      <c r="C253" vm="466">
        <f ca="1"/>
        <v>5</v>
      </c>
    </row>
    <row r="254" spans="1:4" x14ac:dyDescent="0.2">
      <c r="A254" t="s">
        <v>9</v>
      </c>
      <c r="B254" vm="467">
        <f ca="1"/>
        <v>46045</v>
      </c>
      <c r="C254" vm="468">
        <f ca="1"/>
        <v>5.22</v>
      </c>
    </row>
    <row r="255" spans="1:4" x14ac:dyDescent="0.2">
      <c r="A255" t="s">
        <v>9</v>
      </c>
      <c r="B255" vm="469">
        <f ca="1"/>
        <v>46048</v>
      </c>
      <c r="C255" vm="470">
        <f ca="1"/>
        <v>5.29</v>
      </c>
    </row>
    <row r="256" spans="1:4" x14ac:dyDescent="0.2">
      <c r="A256" t="s">
        <v>9</v>
      </c>
      <c r="B256" vm="471">
        <f ca="1"/>
        <v>46049</v>
      </c>
      <c r="C256" vm="472">
        <f ca="1"/>
        <v>5.56</v>
      </c>
    </row>
    <row r="258" spans="2:2" x14ac:dyDescent="0.2">
      <c r="B258" s="1"/>
    </row>
    <row r="259" spans="2:2" x14ac:dyDescent="0.2">
      <c r="B259" s="1"/>
    </row>
    <row r="270" spans="2:2" x14ac:dyDescent="0.2">
      <c r="B270" s="5"/>
    </row>
    <row r="271" spans="2:2" x14ac:dyDescent="0.2">
      <c r="B271" s="5"/>
    </row>
    <row r="272" spans="2:2" x14ac:dyDescent="0.2">
      <c r="B272" s="5"/>
    </row>
    <row r="273" spans="2:2" x14ac:dyDescent="0.2">
      <c r="B273" s="5"/>
    </row>
  </sheetData>
  <autoFilter ref="A1:G1" xr:uid="{A0FA6201-0231-5846-9F1B-D720A83B8F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PDUFA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Soyars, Mark (soyarsma)</dc:creator>
  <cp:lastModifiedBy>Soyars, Mark (soyarsma)</cp:lastModifiedBy>
  <dcterms:created xsi:type="dcterms:W3CDTF">2026-01-28T00:29:32Z</dcterms:created>
  <dcterms:modified xsi:type="dcterms:W3CDTF">2026-01-29T01:43:45Z</dcterms:modified>
</cp:coreProperties>
</file>